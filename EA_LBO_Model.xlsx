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Sources &amp; Uses" sheetId="3" state="visible" r:id="rId5"/>
    <sheet name="Operating Model" sheetId="4" state="visible" r:id="rId6"/>
    <sheet name="Debt Schedule" sheetId="5" state="visible" r:id="rId7"/>
    <sheet name="Returns" sheetId="6" state="visible" r:id="rId8"/>
    <sheet name="Sensitiv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<sst xmlns="http://schemas.openxmlformats.org/spreadsheetml/2006/main" count="240" uniqueCount="173">
  <si>
    <t xml:space="preserve">EA Take-Private: LBO Analysis</t>
  </si>
  <si>
    <t xml:space="preserve">Prepared by Alessandro Radice · Educational project, not investment advice</t>
  </si>
  <si>
    <t xml:space="preserve">Question</t>
  </si>
  <si>
    <t xml:space="preserve">Could a financial sponsor pay $210 per share for EA, and what return does the price imply?</t>
  </si>
  <si>
    <t xml:space="preserve">Inputs</t>
  </si>
  <si>
    <t xml:space="preserve">Financials, deal terms, the six debt tranches, base rates, scenario drivers and the scenario switch (C5)</t>
  </si>
  <si>
    <t xml:space="preserve">Sources &amp; Uses</t>
  </si>
  <si>
    <t xml:space="preserve">Equity purchase, refinancing and fees vs new debt, balance-sheet cash and sponsor equity</t>
  </si>
  <si>
    <t xml:space="preserve">Operating Model</t>
  </si>
  <si>
    <t xml:space="preserve">Net bookings, adjusted EBITDA with cost savings, cash compensation, capex, taxes, free cash flow</t>
  </si>
  <si>
    <t xml:space="preserve">Debt Schedule</t>
  </si>
  <si>
    <t xml:space="preserve">Tranche by tranche: interest, mandatory amortisation, cash sweep, leverage and coverage</t>
  </si>
  <si>
    <t xml:space="preserve">Returns</t>
  </si>
  <si>
    <t xml:space="preserve">Exit value, sponsor IRR and MoM, maximum price at the target IRR, exit multiple needed at $210</t>
  </si>
  <si>
    <t xml:space="preserve">Sensitivity</t>
  </si>
  <si>
    <t xml:space="preserve">IRR by entry price and exit multiple, for the active scenario</t>
  </si>
  <si>
    <t xml:space="preserve">Colour code</t>
  </si>
  <si>
    <t xml:space="preserve">Blue = hard-coded input · Black = formula · Green = link to another sheet</t>
  </si>
  <si>
    <t xml:space="preserve">$ millions unless stated · FY = fiscal year ending 31 March</t>
  </si>
  <si>
    <t xml:space="preserve">Active scenario (1 = Downside, 2 = Base, 3 = Upside)</t>
  </si>
  <si>
    <t xml:space="preserve">Historical financials</t>
  </si>
  <si>
    <t xml:space="preserve">FY2025</t>
  </si>
  <si>
    <t xml:space="preserve">FY2026</t>
  </si>
  <si>
    <t xml:space="preserve">Net revenue</t>
  </si>
  <si>
    <t xml:space="preserve">Net bookings</t>
  </si>
  <si>
    <t xml:space="preserve">Operating income (GAAP)</t>
  </si>
  <si>
    <t xml:space="preserve">Depreciation &amp; amortisation</t>
  </si>
  <si>
    <t xml:space="preserve">Stock-based compensation</t>
  </si>
  <si>
    <t xml:space="preserve">Capital expenditure</t>
  </si>
  <si>
    <t xml:space="preserve">Adj. EBITDA (bookings basis)</t>
  </si>
  <si>
    <t xml:space="preserve">Operating income + change in deferred net revenue + D&amp;A + SBC</t>
  </si>
  <si>
    <t xml:space="preserve">Adj. EBITDA margin on bookings</t>
  </si>
  <si>
    <t xml:space="preserve">Deal terms and balance sheet</t>
  </si>
  <si>
    <t xml:space="preserve">Offer price per share ($)</t>
  </si>
  <si>
    <t xml:space="preserve">All-cash merger consideration</t>
  </si>
  <si>
    <t xml:space="preserve">Premium to unaffected price</t>
  </si>
  <si>
    <t xml:space="preserve">Reported 25%</t>
  </si>
  <si>
    <t xml:space="preserve">Shares outstanding (m)</t>
  </si>
  <si>
    <t xml:space="preserve">10-K cover, 6 May 2026</t>
  </si>
  <si>
    <t xml:space="preserve">Cash and short-term investments, 31 Mar 2026</t>
  </si>
  <si>
    <t xml:space="preserve">FY2026 earnings release</t>
  </si>
  <si>
    <t xml:space="preserve">Existing senior notes, refinanced</t>
  </si>
  <si>
    <t xml:space="preserve">Tendered or defeased at closing</t>
  </si>
  <si>
    <t xml:space="preserve">Minimum cash kept in the business</t>
  </si>
  <si>
    <t xml:space="preserve">Assumption</t>
  </si>
  <si>
    <t xml:space="preserve">Financing fees, % of new debt</t>
  </si>
  <si>
    <t xml:space="preserve">OID on term loan B</t>
  </si>
  <si>
    <t xml:space="preserve">Issued at 98.5</t>
  </si>
  <si>
    <t xml:space="preserve">Advisory and other costs, % of equity value</t>
  </si>
  <si>
    <t xml:space="preserve">EBITDA marketed to lenders</t>
  </si>
  <si>
    <t xml:space="preserve">Incl. ~$400m savings and ~$300m addbacks</t>
  </si>
  <si>
    <t xml:space="preserve">SOFR</t>
  </si>
  <si>
    <t xml:space="preserve">Euribor</t>
  </si>
  <si>
    <t xml:space="preserve">Unaffected price ($)</t>
  </si>
  <si>
    <t xml:space="preserve">Debt package at closing (4 Aug 2026)</t>
  </si>
  <si>
    <t xml:space="preserve">Amount</t>
  </si>
  <si>
    <t xml:space="preserve">Floating?</t>
  </si>
  <si>
    <t xml:space="preserve">Spread/coupon</t>
  </si>
  <si>
    <t xml:space="preserve">All-in rate</t>
  </si>
  <si>
    <t xml:space="preserve">Amort. %/yr</t>
  </si>
  <si>
    <t xml:space="preserve">Prepayable?</t>
  </si>
  <si>
    <t xml:space="preserve">Term Loan A</t>
  </si>
  <si>
    <t xml:space="preserve">Yes</t>
  </si>
  <si>
    <t xml:space="preserve">Spread assumed (not disclosed); 5% amortisation assumed</t>
  </si>
  <si>
    <t xml:space="preserve">Term Loan B (USD)</t>
  </si>
  <si>
    <t xml:space="preserve">Closing 8-K / syndication press</t>
  </si>
  <si>
    <t xml:space="preserve">Term Loan B (EUR €1,725m)</t>
  </si>
  <si>
    <t xml:space="preserve">Senior secured notes 2033 (USD)</t>
  </si>
  <si>
    <t xml:space="preserve">No</t>
  </si>
  <si>
    <t xml:space="preserve">Senior secured notes 2033 (EUR €1,080m)</t>
  </si>
  <si>
    <t xml:space="preserve">Senior unsecured notes 2034</t>
  </si>
  <si>
    <t xml:space="preserve">Total new debt</t>
  </si>
  <si>
    <t xml:space="preserve">Term loan B total</t>
  </si>
  <si>
    <t xml:space="preserve">Scenario drivers</t>
  </si>
  <si>
    <t xml:space="preserve">Downside</t>
  </si>
  <si>
    <t xml:space="preserve">Base</t>
  </si>
  <si>
    <t xml:space="preserve">Upside</t>
  </si>
  <si>
    <t xml:space="preserve">► Live</t>
  </si>
  <si>
    <t xml:space="preserve">Net bookings growth per year</t>
  </si>
  <si>
    <t xml:space="preserve">Run-rate cost savings (50% in FY2027)</t>
  </si>
  <si>
    <t xml:space="preserve">Exit EV / adj. EBITDA</t>
  </si>
  <si>
    <t xml:space="preserve">Common assumptions</t>
  </si>
  <si>
    <t xml:space="preserve">D&amp;A % of bookings</t>
  </si>
  <si>
    <t xml:space="preserve">FY2026 ratio</t>
  </si>
  <si>
    <t xml:space="preserve">Capex % of bookings</t>
  </si>
  <si>
    <t xml:space="preserve">Stock-based compensation % of bookings</t>
  </si>
  <si>
    <t xml:space="preserve">Share of former SBC now paid in cash</t>
  </si>
  <si>
    <t xml:space="preserve">Assumption: unvested RSUs became cash awards</t>
  </si>
  <si>
    <t xml:space="preserve">Cash tax rate</t>
  </si>
  <si>
    <t xml:space="preserve">Excess cash sweep</t>
  </si>
  <si>
    <t xml:space="preserve">Applied to TLA, then term loan B</t>
  </si>
  <si>
    <t xml:space="preserve">Sponsor target IRR</t>
  </si>
  <si>
    <t xml:space="preserve">Typical large-cap buyout hurdle</t>
  </si>
  <si>
    <t xml:space="preserve">Sources &amp; uses at closing</t>
  </si>
  <si>
    <t xml:space="preserve">Uses</t>
  </si>
  <si>
    <t xml:space="preserve">$m</t>
  </si>
  <si>
    <t xml:space="preserve">% total</t>
  </si>
  <si>
    <t xml:space="preserve">Purchase of equity</t>
  </si>
  <si>
    <t xml:space="preserve">Refinance existing senior notes</t>
  </si>
  <si>
    <t xml:space="preserve">Financing fees</t>
  </si>
  <si>
    <t xml:space="preserve">Advisory and other costs</t>
  </si>
  <si>
    <t xml:space="preserve">Total uses</t>
  </si>
  <si>
    <t xml:space="preserve">Sources</t>
  </si>
  <si>
    <t xml:space="preserve">New debt</t>
  </si>
  <si>
    <t xml:space="preserve">EA balance-sheet cash</t>
  </si>
  <si>
    <t xml:space="preserve">Sponsor equity (residual)</t>
  </si>
  <si>
    <t xml:space="preserve">Total sources</t>
  </si>
  <si>
    <t xml:space="preserve">Check: sources − uses</t>
  </si>
  <si>
    <t xml:space="preserve">Entry valuation</t>
  </si>
  <si>
    <t xml:space="preserve">Entry EV (equity + old notes − cash)</t>
  </si>
  <si>
    <t xml:space="preserve">EV / FY2026 adj. EBITDA</t>
  </si>
  <si>
    <t xml:space="preserve">EV / marketing EBITDA</t>
  </si>
  <si>
    <t xml:space="preserve">Gross leverage: new debt / FY2026 adj. EBITDA</t>
  </si>
  <si>
    <t xml:space="preserve">Gross leverage on marketing EBITDA</t>
  </si>
  <si>
    <t xml:space="preserve">Equity cushion (sponsor equity / total sources)</t>
  </si>
  <si>
    <t xml:space="preserve">Operating model (active scenario)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</si>
  <si>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</si>
  <si>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</si>
  <si>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</si>
  <si>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</si>
  <si>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</si>
  <si>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</si>
  <si>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Growth</t>
  </si>
  <si>
    <t xml:space="preserve">Adj. EBITDA before savings</t>
  </si>
  <si>
    <t xml:space="preserve">Cost savings</t>
  </si>
  <si>
    <t xml:space="preserve">Adj. EBITDA</t>
  </si>
  <si>
    <t xml:space="preserve">Margin on bookings</t>
  </si>
  <si>
    <t xml:space="preserve">(–) Cash compensation replacing SBC</t>
  </si>
  <si>
    <t xml:space="preserve">(–) D&amp;A</t>
  </si>
  <si>
    <t xml:space="preserve">(–) Cash interest</t>
  </si>
  <si>
    <t xml:space="preserve">EBT (tax basis)</t>
  </si>
  <si>
    <t xml:space="preserve">(–) Cash taxes</t>
  </si>
  <si>
    <t xml:space="preserve">(–) Capex</t>
  </si>
  <si>
    <t xml:space="preserve">Free cash flow after interest</t>
  </si>
  <si>
    <t xml:space="preserve">Debt schedule (active scenario)</t>
  </si>
  <si>
    <t xml:space="preserve">Closing</t>
  </si>
  <si>
    <t xml:space="preserve">  Opening balance</t>
  </si>
  <si>
    <t xml:space="preserve">  Mandatory amortisation</t>
  </si>
  <si>
    <t xml:space="preserve">  Cash sweep</t>
  </si>
  <si>
    <t xml:space="preserve">  Closing balance</t>
  </si>
  <si>
    <t xml:space="preserve">  Interest (on opening)</t>
  </si>
  <si>
    <t xml:space="preserve">Total mandatory amortisation</t>
  </si>
  <si>
    <t xml:space="preserve">Cash available for sweep</t>
  </si>
  <si>
    <t xml:space="preserve">Opening cash</t>
  </si>
  <si>
    <t xml:space="preserve">Closing cash</t>
  </si>
  <si>
    <t xml:space="preserve">Total gross debt</t>
  </si>
  <si>
    <t xml:space="preserve">Total cash interest</t>
  </si>
  <si>
    <t xml:space="preserve">Net debt</t>
  </si>
  <si>
    <t xml:space="preserve">Net debt / adj. EBITDA</t>
  </si>
  <si>
    <t xml:space="preserve">Adj. EBITDA / cash interest</t>
  </si>
  <si>
    <t xml:space="preserve">Returns and ability to pay (active scenario)</t>
  </si>
  <si>
    <t xml:space="preserve">Exit adj. EBITDA (FY2031)</t>
  </si>
  <si>
    <t xml:space="preserve">Exit multiple</t>
  </si>
  <si>
    <t xml:space="preserve">Exit enterprise value</t>
  </si>
  <si>
    <t xml:space="preserve">(–) Net debt at exit</t>
  </si>
  <si>
    <t xml:space="preserve">Exit equity value</t>
  </si>
  <si>
    <t xml:space="preserve">Sponsor equity invested</t>
  </si>
  <si>
    <t xml:space="preserve">PIF rollover counted as invested at $210</t>
  </si>
  <si>
    <t xml:space="preserve">Holding period (years)</t>
  </si>
  <si>
    <t xml:space="preserve">Five full fiscal years FY2027-FY2031 (close Aug 2026)</t>
  </si>
  <si>
    <t xml:space="preserve">MoM</t>
  </si>
  <si>
    <t xml:space="preserve">IRR</t>
  </si>
  <si>
    <t xml:space="preserve">Equity for the target IRR</t>
  </si>
  <si>
    <t xml:space="preserve">Maximum price per share at the target IRR ($)</t>
  </si>
  <si>
    <t xml:space="preserve">vs offer price</t>
  </si>
  <si>
    <t xml:space="preserve">vs unaffected price</t>
  </si>
  <si>
    <t xml:space="preserve">Exit multiple needed for the target IRR at the offer price</t>
  </si>
  <si>
    <t xml:space="preserve">C9 is negative net debt</t>
  </si>
  <si>
    <t xml:space="preserve">Debt repaid over the hold</t>
  </si>
  <si>
    <t xml:space="preserve">Sponsor IRR: entry price (rows) × exit multiple (columns)</t>
  </si>
  <si>
    <t xml:space="preserve">Active scenario · debt package fixed at $18bn, so the price changes only the equity cheque</t>
  </si>
  <si>
    <t xml:space="preserve">Price per share ↓ / exit multiple →</t>
  </si>
  <si>
    <t xml:space="preserve">Dark cells: IRR at or above the 20% target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</si>
</sst>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–"/>
    <numFmt numFmtId="166" formatCode="0.0%"/>
    <numFmt numFmtId="167" formatCode="\$#,##0.00"/>
    <numFmt numFmtId="168" formatCode="0.00%"/>
    <numFmt numFmtId="169" formatCode="#,##0.0"/>
    <numFmt numFmtId="170" formatCode="0.0\x"/>
    <numFmt numFmtId="171" formatCode="0.000;\-0.000;&quot;OK&quot;"/>
    <numFmt numFmtId="172" formatCode="0.00\x"/>
    <numFmt numFmtId="173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2"/>
      <charset val="1"/>
    </font>
    <font>
      <i val="true"/>
      <sz val="10"/>
      <color rgb="FF66655E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0"/>
      <color rgb="FF008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CEBE5"/>
      </patternFill>
    </fill>
    <fill>
      <patternFill patternType="solid">
        <fgColor rgb="FF1A1A18"/>
        <bgColor rgb="FF003300"/>
      </patternFill>
    </fill>
    <fill>
      <patternFill patternType="solid">
        <fgColor rgb="FFECEBE5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DAD9D2"/>
      </left>
      <right style="thin">
        <color rgb="FFDAD9D2"/>
      </right>
      <top style="thin">
        <color rgb="FFDAD9D2"/>
      </top>
      <bottom style="thin">
        <color rgb="FFDAD9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FFFF"/>
      </font>
      <fill>
        <patternFill>
          <bgColor rgb="FF1A1A1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D9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CEB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55E"/>
      <rgbColor rgb="FF969696"/>
      <rgbColor rgb="FF003366"/>
      <rgbColor rgb="FF339966"/>
      <rgbColor rgb="FF003300"/>
      <rgbColor rgb="FF1A1A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6.71"/>
    <col collapsed="false" customWidth="true" hidden="false" outlineLevel="0" max="3" min="3" style="0" width="96.71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C6" s="4" t="s">
        <v>3</v>
      </c>
    </row>
    <row r="7" customFormat="false" ht="15" hidden="false" customHeight="false" outlineLevel="0" collapsed="false">
      <c r="B7" s="3" t="s">
        <v>4</v>
      </c>
      <c r="C7" s="4" t="s">
        <v>5</v>
      </c>
    </row>
    <row r="8" customFormat="false" ht="15" hidden="false" customHeight="false" outlineLevel="0" collapsed="false">
      <c r="B8" s="3" t="s">
        <v>6</v>
      </c>
      <c r="C8" s="4" t="s">
        <v>7</v>
      </c>
    </row>
    <row r="9" customFormat="false" ht="15" hidden="false" customHeight="false" outlineLevel="0" collapsed="false">
      <c r="B9" s="3" t="s">
        <v>8</v>
      </c>
      <c r="C9" s="4" t="s">
        <v>9</v>
      </c>
    </row>
    <row r="10" customFormat="false" ht="15" hidden="false" customHeight="false" outlineLevel="0" collapsed="false">
      <c r="B10" s="3" t="s">
        <v>10</v>
      </c>
      <c r="C10" s="4" t="s">
        <v>11</v>
      </c>
    </row>
    <row r="11" customFormat="false" ht="15" hidden="false" customHeight="false" outlineLevel="0" collapsed="false">
      <c r="B11" s="3" t="s">
        <v>12</v>
      </c>
      <c r="C11" s="4" t="s">
        <v>13</v>
      </c>
    </row>
    <row r="12" customFormat="false" ht="15" hidden="false" customHeight="false" outlineLevel="0" collapsed="false">
      <c r="B12" s="3" t="s">
        <v>14</v>
      </c>
      <c r="C12" s="4" t="s">
        <v>15</v>
      </c>
    </row>
    <row r="13" customFormat="false" ht="15" hidden="false" customHeight="false" outlineLevel="0" collapsed="false">
      <c r="B13" s="3" t="s">
        <v>16</v>
      </c>
      <c r="C13" s="4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6.71"/>
    <col collapsed="false" customWidth="true" hidden="false" outlineLevel="0" max="8" min="3" style="0" width="13.71"/>
    <col collapsed="false" customWidth="true" hidden="false" outlineLevel="0" max="9" min="9" style="0" width="60.71"/>
  </cols>
  <sheetData>
    <row r="2" customFormat="false" ht="17.35" hidden="false" customHeight="false" outlineLevel="0" collapsed="false">
      <c r="B2" s="1" t="s">
        <v>4</v>
      </c>
    </row>
    <row r="3" customFormat="false" ht="15" hidden="false" customHeight="false" outlineLevel="0" collapsed="false">
      <c r="B3" s="2" t="s">
        <v>18</v>
      </c>
    </row>
    <row r="5" customFormat="false" ht="15" hidden="false" customHeight="false" outlineLevel="0" collapsed="false">
      <c r="B5" s="3" t="s">
        <v>19</v>
      </c>
      <c r="C5" s="5" t="n">
        <v>2</v>
      </c>
      <c r="D5" s="3" t="str">
        <f aca="false">CHOOSE($C$5,"Downside","Base","Upside")</f>
        <v>Base</v>
      </c>
    </row>
    <row r="8" customFormat="false" ht="15" hidden="false" customHeight="false" outlineLevel="0" collapsed="false">
      <c r="B8" s="6" t="s">
        <v>20</v>
      </c>
      <c r="C8" s="7" t="s">
        <v>21</v>
      </c>
      <c r="D8" s="7" t="s">
        <v>22</v>
      </c>
    </row>
    <row r="9" customFormat="false" ht="15" hidden="false" customHeight="false" outlineLevel="0" collapsed="false">
      <c r="B9" s="0" t="s">
        <v>23</v>
      </c>
      <c r="C9" s="8" t="n">
        <v>7463</v>
      </c>
      <c r="D9" s="8" t="n">
        <v>7531</v>
      </c>
    </row>
    <row r="10" customFormat="false" ht="15" hidden="false" customHeight="false" outlineLevel="0" collapsed="false">
      <c r="B10" s="0" t="s">
        <v>24</v>
      </c>
      <c r="C10" s="8" t="n">
        <v>7355</v>
      </c>
      <c r="D10" s="8" t="n">
        <v>8026</v>
      </c>
    </row>
    <row r="11" customFormat="false" ht="15" hidden="false" customHeight="false" outlineLevel="0" collapsed="false">
      <c r="B11" s="0" t="s">
        <v>25</v>
      </c>
      <c r="C11" s="8" t="n">
        <v>1520</v>
      </c>
      <c r="D11" s="8" t="n">
        <v>1162</v>
      </c>
    </row>
    <row r="12" customFormat="false" ht="15" hidden="false" customHeight="false" outlineLevel="0" collapsed="false">
      <c r="B12" s="0" t="s">
        <v>26</v>
      </c>
      <c r="C12" s="8" t="n">
        <v>356</v>
      </c>
      <c r="D12" s="8" t="n">
        <v>323</v>
      </c>
    </row>
    <row r="13" customFormat="false" ht="15" hidden="false" customHeight="false" outlineLevel="0" collapsed="false">
      <c r="B13" s="0" t="s">
        <v>27</v>
      </c>
      <c r="C13" s="8" t="n">
        <v>642</v>
      </c>
      <c r="D13" s="8" t="n">
        <v>656</v>
      </c>
    </row>
    <row r="14" customFormat="false" ht="15" hidden="false" customHeight="false" outlineLevel="0" collapsed="false">
      <c r="B14" s="0" t="s">
        <v>28</v>
      </c>
      <c r="C14" s="8" t="n">
        <v>221</v>
      </c>
      <c r="D14" s="8" t="n">
        <v>230</v>
      </c>
    </row>
    <row r="15" customFormat="false" ht="15" hidden="false" customHeight="false" outlineLevel="0" collapsed="false">
      <c r="B15" s="3" t="s">
        <v>29</v>
      </c>
      <c r="C15" s="9" t="n">
        <f aca="false">C11+(C10-C9)+C12+C13</f>
        <v>2410</v>
      </c>
      <c r="D15" s="9" t="n">
        <f aca="false">D11+(D10-D9)+D12+D13</f>
        <v>2636</v>
      </c>
      <c r="I15" s="10" t="s">
        <v>30</v>
      </c>
    </row>
    <row r="16" customFormat="false" ht="15" hidden="false" customHeight="false" outlineLevel="0" collapsed="false">
      <c r="B16" s="0" t="s">
        <v>31</v>
      </c>
      <c r="C16" s="11" t="n">
        <f aca="false">C15/C10</f>
        <v>0.327668252889191</v>
      </c>
      <c r="D16" s="11" t="n">
        <f aca="false">D15/D10</f>
        <v>0.328432594069275</v>
      </c>
    </row>
    <row r="18" customFormat="false" ht="15" hidden="false" customHeight="false" outlineLevel="0" collapsed="false">
      <c r="B18" s="6" t="s">
        <v>32</v>
      </c>
    </row>
    <row r="19" customFormat="false" ht="15" hidden="false" customHeight="false" outlineLevel="0" collapsed="false">
      <c r="B19" s="0" t="s">
        <v>33</v>
      </c>
      <c r="C19" s="12" t="n">
        <v>210</v>
      </c>
      <c r="I19" s="10" t="s">
        <v>34</v>
      </c>
    </row>
    <row r="20" customFormat="false" ht="15" hidden="false" customHeight="false" outlineLevel="0" collapsed="false">
      <c r="B20" s="0" t="s">
        <v>35</v>
      </c>
      <c r="C20" s="13" t="n">
        <v>0.25</v>
      </c>
      <c r="I20" s="10" t="s">
        <v>36</v>
      </c>
    </row>
    <row r="21" customFormat="false" ht="15" hidden="false" customHeight="false" outlineLevel="0" collapsed="false">
      <c r="B21" s="0" t="s">
        <v>37</v>
      </c>
      <c r="C21" s="14" t="n">
        <v>250.751484</v>
      </c>
      <c r="I21" s="10" t="s">
        <v>38</v>
      </c>
    </row>
    <row r="22" customFormat="false" ht="15" hidden="false" customHeight="false" outlineLevel="0" collapsed="false">
      <c r="B22" s="0" t="s">
        <v>39</v>
      </c>
      <c r="C22" s="8" t="n">
        <v>2980</v>
      </c>
      <c r="I22" s="10" t="s">
        <v>40</v>
      </c>
    </row>
    <row r="23" customFormat="false" ht="15" hidden="false" customHeight="false" outlineLevel="0" collapsed="false">
      <c r="B23" s="0" t="s">
        <v>41</v>
      </c>
      <c r="C23" s="8" t="n">
        <v>1485</v>
      </c>
      <c r="I23" s="10" t="s">
        <v>42</v>
      </c>
    </row>
    <row r="24" customFormat="false" ht="15" hidden="false" customHeight="false" outlineLevel="0" collapsed="false">
      <c r="B24" s="0" t="s">
        <v>43</v>
      </c>
      <c r="C24" s="8" t="n">
        <v>1000</v>
      </c>
      <c r="I24" s="10" t="s">
        <v>44</v>
      </c>
    </row>
    <row r="25" customFormat="false" ht="15" hidden="false" customHeight="false" outlineLevel="0" collapsed="false">
      <c r="B25" s="0" t="s">
        <v>45</v>
      </c>
      <c r="C25" s="13" t="n">
        <v>0.015</v>
      </c>
      <c r="I25" s="10" t="s">
        <v>44</v>
      </c>
    </row>
    <row r="26" customFormat="false" ht="15" hidden="false" customHeight="false" outlineLevel="0" collapsed="false">
      <c r="B26" s="0" t="s">
        <v>46</v>
      </c>
      <c r="C26" s="13" t="n">
        <v>0.015</v>
      </c>
      <c r="I26" s="10" t="s">
        <v>47</v>
      </c>
    </row>
    <row r="27" customFormat="false" ht="15" hidden="false" customHeight="false" outlineLevel="0" collapsed="false">
      <c r="B27" s="0" t="s">
        <v>48</v>
      </c>
      <c r="C27" s="13" t="n">
        <v>0.005</v>
      </c>
      <c r="I27" s="10" t="s">
        <v>44</v>
      </c>
    </row>
    <row r="28" customFormat="false" ht="15" hidden="false" customHeight="false" outlineLevel="0" collapsed="false">
      <c r="B28" s="0" t="s">
        <v>49</v>
      </c>
      <c r="C28" s="8" t="n">
        <v>3400</v>
      </c>
      <c r="I28" s="10" t="s">
        <v>50</v>
      </c>
    </row>
    <row r="29" customFormat="false" ht="15" hidden="false" customHeight="false" outlineLevel="0" collapsed="false">
      <c r="B29" s="0" t="s">
        <v>51</v>
      </c>
      <c r="C29" s="13" t="n">
        <v>0.0375</v>
      </c>
      <c r="I29" s="10" t="s">
        <v>44</v>
      </c>
    </row>
    <row r="30" customFormat="false" ht="15" hidden="false" customHeight="false" outlineLevel="0" collapsed="false">
      <c r="B30" s="0" t="s">
        <v>52</v>
      </c>
      <c r="C30" s="13" t="n">
        <v>0.0225</v>
      </c>
      <c r="I30" s="10" t="s">
        <v>44</v>
      </c>
    </row>
    <row r="31" customFormat="false" ht="15" hidden="false" customHeight="false" outlineLevel="0" collapsed="false">
      <c r="B31" s="0" t="s">
        <v>53</v>
      </c>
      <c r="C31" s="15" t="n">
        <f aca="false">Inputs!$C$19/(1+Inputs!$C$20)</f>
        <v>168</v>
      </c>
    </row>
    <row r="33" customFormat="false" ht="15" hidden="false" customHeight="false" outlineLevel="0" collapsed="false">
      <c r="B33" s="6" t="s">
        <v>54</v>
      </c>
      <c r="C33" s="7" t="s">
        <v>55</v>
      </c>
      <c r="D33" s="7" t="s">
        <v>56</v>
      </c>
      <c r="E33" s="7" t="s">
        <v>57</v>
      </c>
      <c r="F33" s="7" t="s">
        <v>58</v>
      </c>
      <c r="G33" s="7" t="s">
        <v>59</v>
      </c>
      <c r="H33" s="7" t="s">
        <v>60</v>
      </c>
    </row>
    <row r="34" customFormat="false" ht="15" hidden="false" customHeight="false" outlineLevel="0" collapsed="false">
      <c r="B34" s="0" t="s">
        <v>61</v>
      </c>
      <c r="C34" s="8" t="n">
        <v>3250</v>
      </c>
      <c r="D34" s="16" t="s">
        <v>62</v>
      </c>
      <c r="E34" s="13" t="n">
        <v>0.0175</v>
      </c>
      <c r="F34" s="11" t="n">
        <f aca="false">IF(D34="Yes",Inputs!$C$29,0)+E34</f>
        <v>0.055</v>
      </c>
      <c r="G34" s="13" t="n">
        <v>0.05</v>
      </c>
      <c r="H34" s="16" t="s">
        <v>62</v>
      </c>
      <c r="I34" s="10" t="s">
        <v>63</v>
      </c>
    </row>
    <row r="35" customFormat="false" ht="15" hidden="false" customHeight="false" outlineLevel="0" collapsed="false">
      <c r="B35" s="0" t="s">
        <v>64</v>
      </c>
      <c r="C35" s="8" t="n">
        <v>6125</v>
      </c>
      <c r="D35" s="16" t="s">
        <v>62</v>
      </c>
      <c r="E35" s="13" t="n">
        <v>0.035</v>
      </c>
      <c r="F35" s="11" t="n">
        <f aca="false">IF(D35="Yes",Inputs!$C$29,0)+E35</f>
        <v>0.0725</v>
      </c>
      <c r="G35" s="13" t="n">
        <v>0.01</v>
      </c>
      <c r="H35" s="16" t="s">
        <v>62</v>
      </c>
      <c r="I35" s="10" t="s">
        <v>65</v>
      </c>
    </row>
    <row r="36" customFormat="false" ht="15" hidden="false" customHeight="false" outlineLevel="0" collapsed="false">
      <c r="B36" s="0" t="s">
        <v>66</v>
      </c>
      <c r="C36" s="8" t="n">
        <v>2000</v>
      </c>
      <c r="D36" s="16" t="s">
        <v>62</v>
      </c>
      <c r="E36" s="13" t="n">
        <v>0.035</v>
      </c>
      <c r="F36" s="11" t="n">
        <f aca="false">IF(D36="Yes",Inputs!$C$30,0)+E36</f>
        <v>0.0575</v>
      </c>
      <c r="G36" s="13" t="n">
        <v>0.01</v>
      </c>
      <c r="H36" s="16" t="s">
        <v>62</v>
      </c>
      <c r="I36" s="10" t="s">
        <v>65</v>
      </c>
    </row>
    <row r="37" customFormat="false" ht="15" hidden="false" customHeight="false" outlineLevel="0" collapsed="false">
      <c r="B37" s="0" t="s">
        <v>67</v>
      </c>
      <c r="C37" s="8" t="n">
        <v>2875</v>
      </c>
      <c r="D37" s="16" t="s">
        <v>68</v>
      </c>
      <c r="E37" s="13" t="n">
        <v>0.0725</v>
      </c>
      <c r="F37" s="11" t="n">
        <f aca="false">IF(D37="Yes",0,0)+E37</f>
        <v>0.0725</v>
      </c>
      <c r="G37" s="13" t="n">
        <v>0</v>
      </c>
      <c r="H37" s="16" t="s">
        <v>68</v>
      </c>
      <c r="I37" s="10" t="s">
        <v>65</v>
      </c>
    </row>
    <row r="38" customFormat="false" ht="15" hidden="false" customHeight="false" outlineLevel="0" collapsed="false">
      <c r="B38" s="0" t="s">
        <v>69</v>
      </c>
      <c r="C38" s="8" t="n">
        <v>1252.17391304348</v>
      </c>
      <c r="D38" s="16" t="s">
        <v>68</v>
      </c>
      <c r="E38" s="13" t="n">
        <v>0.0625</v>
      </c>
      <c r="F38" s="11" t="n">
        <f aca="false">IF(D38="Yes",0,0)+E38</f>
        <v>0.0625</v>
      </c>
      <c r="G38" s="13" t="n">
        <v>0</v>
      </c>
      <c r="H38" s="16" t="s">
        <v>68</v>
      </c>
      <c r="I38" s="10" t="s">
        <v>65</v>
      </c>
    </row>
    <row r="39" customFormat="false" ht="15" hidden="false" customHeight="false" outlineLevel="0" collapsed="false">
      <c r="B39" s="0" t="s">
        <v>70</v>
      </c>
      <c r="C39" s="8" t="n">
        <v>2500</v>
      </c>
      <c r="D39" s="16" t="s">
        <v>68</v>
      </c>
      <c r="E39" s="13" t="n">
        <v>0.0875</v>
      </c>
      <c r="F39" s="11" t="n">
        <f aca="false">IF(D39="Yes",0,0)+E39</f>
        <v>0.0875</v>
      </c>
      <c r="G39" s="13" t="n">
        <v>0</v>
      </c>
      <c r="H39" s="16" t="s">
        <v>68</v>
      </c>
      <c r="I39" s="10" t="s">
        <v>65</v>
      </c>
    </row>
    <row r="40" customFormat="false" ht="15" hidden="false" customHeight="false" outlineLevel="0" collapsed="false">
      <c r="B40" s="3" t="s">
        <v>71</v>
      </c>
      <c r="C40" s="9" t="n">
        <f aca="false">SUM(C34:C39)</f>
        <v>18002.1739130435</v>
      </c>
    </row>
    <row r="41" customFormat="false" ht="15" hidden="false" customHeight="false" outlineLevel="0" collapsed="false">
      <c r="B41" s="0" t="s">
        <v>72</v>
      </c>
      <c r="C41" s="17" t="n">
        <f aca="false">C35+C36</f>
        <v>8125</v>
      </c>
    </row>
    <row r="43" customFormat="false" ht="15" hidden="false" customHeight="false" outlineLevel="0" collapsed="false">
      <c r="B43" s="6" t="s">
        <v>73</v>
      </c>
      <c r="C43" s="7" t="s">
        <v>74</v>
      </c>
      <c r="D43" s="7" t="s">
        <v>75</v>
      </c>
      <c r="E43" s="7" t="s">
        <v>76</v>
      </c>
      <c r="F43" s="7" t="s">
        <v>77</v>
      </c>
    </row>
    <row r="44" customFormat="false" ht="15" hidden="false" customHeight="false" outlineLevel="0" collapsed="false">
      <c r="B44" s="0" t="s">
        <v>78</v>
      </c>
      <c r="C44" s="13" t="n">
        <v>0.02</v>
      </c>
      <c r="D44" s="13" t="n">
        <v>0.05</v>
      </c>
      <c r="E44" s="13" t="n">
        <v>0.08</v>
      </c>
      <c r="F44" s="18" t="n">
        <f aca="false">CHOOSE(Inputs!$C$5,C44,D44,E44)</f>
        <v>0.05</v>
      </c>
    </row>
    <row r="45" customFormat="false" ht="15" hidden="false" customHeight="false" outlineLevel="0" collapsed="false">
      <c r="B45" s="0" t="s">
        <v>79</v>
      </c>
      <c r="C45" s="8" t="n">
        <v>200</v>
      </c>
      <c r="D45" s="8" t="n">
        <v>400</v>
      </c>
      <c r="E45" s="8" t="n">
        <v>700</v>
      </c>
      <c r="F45" s="19" t="n">
        <f aca="false">CHOOSE(Inputs!$C$5,C45,D45,E45)</f>
        <v>400</v>
      </c>
    </row>
    <row r="46" customFormat="false" ht="15" hidden="false" customHeight="false" outlineLevel="0" collapsed="false">
      <c r="B46" s="0" t="s">
        <v>80</v>
      </c>
      <c r="C46" s="20" t="n">
        <v>14</v>
      </c>
      <c r="D46" s="20" t="n">
        <v>16</v>
      </c>
      <c r="E46" s="20" t="n">
        <v>19</v>
      </c>
      <c r="F46" s="21" t="n">
        <f aca="false">CHOOSE(Inputs!$C$5,C46,D46,E46)</f>
        <v>16</v>
      </c>
    </row>
    <row r="48" customFormat="false" ht="15" hidden="false" customHeight="false" outlineLevel="0" collapsed="false">
      <c r="B48" s="6" t="s">
        <v>81</v>
      </c>
    </row>
    <row r="49" customFormat="false" ht="15" hidden="false" customHeight="false" outlineLevel="0" collapsed="false">
      <c r="B49" s="0" t="s">
        <v>82</v>
      </c>
      <c r="C49" s="13" t="n">
        <v>0.0402442063294294</v>
      </c>
      <c r="I49" s="10" t="s">
        <v>83</v>
      </c>
    </row>
    <row r="50" customFormat="false" ht="15" hidden="false" customHeight="false" outlineLevel="0" collapsed="false">
      <c r="B50" s="0" t="s">
        <v>84</v>
      </c>
      <c r="C50" s="13" t="n">
        <v>0.0286568651881386</v>
      </c>
      <c r="I50" s="10" t="s">
        <v>83</v>
      </c>
    </row>
    <row r="51" customFormat="false" ht="15" hidden="false" customHeight="false" outlineLevel="0" collapsed="false">
      <c r="B51" s="0" t="s">
        <v>85</v>
      </c>
      <c r="C51" s="13" t="n">
        <v>0.0817343633192126</v>
      </c>
      <c r="I51" s="10" t="s">
        <v>83</v>
      </c>
    </row>
    <row r="52" customFormat="false" ht="15" hidden="false" customHeight="false" outlineLevel="0" collapsed="false">
      <c r="B52" s="0" t="s">
        <v>86</v>
      </c>
      <c r="C52" s="13" t="n">
        <v>0.5</v>
      </c>
      <c r="I52" s="10" t="s">
        <v>87</v>
      </c>
    </row>
    <row r="53" customFormat="false" ht="15" hidden="false" customHeight="false" outlineLevel="0" collapsed="false">
      <c r="B53" s="0" t="s">
        <v>88</v>
      </c>
      <c r="C53" s="13" t="n">
        <v>0.21</v>
      </c>
      <c r="I53" s="10" t="s">
        <v>44</v>
      </c>
    </row>
    <row r="54" customFormat="false" ht="15" hidden="false" customHeight="false" outlineLevel="0" collapsed="false">
      <c r="B54" s="0" t="s">
        <v>89</v>
      </c>
      <c r="C54" s="13" t="n">
        <v>1</v>
      </c>
      <c r="I54" s="10" t="s">
        <v>90</v>
      </c>
    </row>
    <row r="55" customFormat="false" ht="15" hidden="false" customHeight="false" outlineLevel="0" collapsed="false">
      <c r="B55" s="0" t="s">
        <v>91</v>
      </c>
      <c r="C55" s="13" t="n">
        <v>0.2</v>
      </c>
      <c r="I55" s="10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6.71"/>
    <col collapsed="false" customWidth="true" hidden="false" outlineLevel="0" max="4" min="3" style="0" width="14.71"/>
  </cols>
  <sheetData>
    <row r="2" customFormat="false" ht="17.35" hidden="false" customHeight="false" outlineLevel="0" collapsed="false">
      <c r="B2" s="1" t="s">
        <v>93</v>
      </c>
    </row>
    <row r="3" customFormat="false" ht="15" hidden="false" customHeight="false" outlineLevel="0" collapsed="false">
      <c r="B3" s="2" t="s">
        <v>18</v>
      </c>
    </row>
    <row r="6" customFormat="false" ht="15" hidden="false" customHeight="false" outlineLevel="0" collapsed="false">
      <c r="B6" s="6" t="s">
        <v>94</v>
      </c>
      <c r="C6" s="7" t="s">
        <v>95</v>
      </c>
      <c r="D6" s="7" t="s">
        <v>96</v>
      </c>
    </row>
    <row r="7" customFormat="false" ht="15" hidden="false" customHeight="false" outlineLevel="0" collapsed="false">
      <c r="B7" s="0" t="s">
        <v>97</v>
      </c>
      <c r="C7" s="17" t="n">
        <f aca="false">Inputs!$C$21*Inputs!$C$19</f>
        <v>52657.81164</v>
      </c>
      <c r="D7" s="11" t="n">
        <f aca="false">C7/$C$12</f>
        <v>0.960943896812645</v>
      </c>
    </row>
    <row r="8" customFormat="false" ht="15" hidden="false" customHeight="false" outlineLevel="0" collapsed="false">
      <c r="B8" s="0" t="s">
        <v>98</v>
      </c>
      <c r="C8" s="22" t="n">
        <f aca="false">Inputs!$C$23</f>
        <v>1485</v>
      </c>
      <c r="D8" s="11" t="n">
        <f aca="false">C8/$C$12</f>
        <v>0.027099525071847</v>
      </c>
    </row>
    <row r="9" customFormat="false" ht="15" hidden="false" customHeight="false" outlineLevel="0" collapsed="false">
      <c r="B9" s="0" t="s">
        <v>99</v>
      </c>
      <c r="C9" s="17" t="n">
        <f aca="false">Inputs!$C$40*Inputs!$C$25</f>
        <v>270.032608695652</v>
      </c>
      <c r="D9" s="11" t="n">
        <f aca="false">C9/$C$12</f>
        <v>0.0049277814475179</v>
      </c>
    </row>
    <row r="10" customFormat="false" ht="15" hidden="false" customHeight="false" outlineLevel="0" collapsed="false">
      <c r="B10" s="0" t="s">
        <v>46</v>
      </c>
      <c r="C10" s="17" t="n">
        <f aca="false">Inputs!$C$41*Inputs!$C$26</f>
        <v>121.875</v>
      </c>
      <c r="D10" s="11" t="n">
        <f aca="false">C10/$C$12</f>
        <v>0.00222407718392684</v>
      </c>
    </row>
    <row r="11" customFormat="false" ht="15" hidden="false" customHeight="false" outlineLevel="0" collapsed="false">
      <c r="B11" s="0" t="s">
        <v>100</v>
      </c>
      <c r="C11" s="17" t="n">
        <f aca="false">C7*Inputs!$C$27</f>
        <v>263.2890582</v>
      </c>
      <c r="D11" s="11" t="n">
        <f aca="false">C11/$C$12</f>
        <v>0.00480471948406322</v>
      </c>
    </row>
    <row r="12" customFormat="false" ht="15" hidden="false" customHeight="false" outlineLevel="0" collapsed="false">
      <c r="B12" s="3" t="s">
        <v>101</v>
      </c>
      <c r="C12" s="9" t="n">
        <f aca="false">SUM(C7:C11)</f>
        <v>54798.0083068957</v>
      </c>
    </row>
    <row r="14" customFormat="false" ht="15" hidden="false" customHeight="false" outlineLevel="0" collapsed="false">
      <c r="B14" s="6" t="s">
        <v>102</v>
      </c>
      <c r="C14" s="7" t="s">
        <v>95</v>
      </c>
      <c r="D14" s="7" t="s">
        <v>96</v>
      </c>
    </row>
    <row r="15" customFormat="false" ht="15" hidden="false" customHeight="false" outlineLevel="0" collapsed="false">
      <c r="B15" s="0" t="s">
        <v>103</v>
      </c>
      <c r="C15" s="22" t="n">
        <f aca="false">Inputs!$C$40</f>
        <v>18002.1739130435</v>
      </c>
      <c r="D15" s="11" t="n">
        <f aca="false">C15/$C$18</f>
        <v>0.32851876316786</v>
      </c>
    </row>
    <row r="16" customFormat="false" ht="15" hidden="false" customHeight="false" outlineLevel="0" collapsed="false">
      <c r="B16" s="0" t="s">
        <v>104</v>
      </c>
      <c r="C16" s="22" t="n">
        <f aca="false">Inputs!$C$22-Inputs!$C$24</f>
        <v>1980</v>
      </c>
      <c r="D16" s="11" t="n">
        <f aca="false">C16/$C$18</f>
        <v>0.036132700095796</v>
      </c>
    </row>
    <row r="17" customFormat="false" ht="15" hidden="false" customHeight="false" outlineLevel="0" collapsed="false">
      <c r="B17" s="3" t="s">
        <v>105</v>
      </c>
      <c r="C17" s="9" t="n">
        <f aca="false">C12-C15-C16</f>
        <v>34815.8343938522</v>
      </c>
      <c r="D17" s="11" t="n">
        <f aca="false">C17/$C$18</f>
        <v>0.635348536736344</v>
      </c>
    </row>
    <row r="18" customFormat="false" ht="15" hidden="false" customHeight="false" outlineLevel="0" collapsed="false">
      <c r="B18" s="3" t="s">
        <v>106</v>
      </c>
      <c r="C18" s="9" t="n">
        <f aca="false">SUM(C15:C17)</f>
        <v>54798.0083068957</v>
      </c>
    </row>
    <row r="19" customFormat="false" ht="15" hidden="false" customHeight="false" outlineLevel="0" collapsed="false">
      <c r="B19" s="3" t="s">
        <v>107</v>
      </c>
      <c r="C19" s="23" t="n">
        <f aca="false">ROUND(C18-C12,6)</f>
        <v>0</v>
      </c>
    </row>
    <row r="21" customFormat="false" ht="15" hidden="false" customHeight="false" outlineLevel="0" collapsed="false">
      <c r="B21" s="6" t="s">
        <v>108</v>
      </c>
      <c r="C21" s="7"/>
      <c r="D21" s="7"/>
    </row>
    <row r="22" customFormat="false" ht="15" hidden="false" customHeight="false" outlineLevel="0" collapsed="false">
      <c r="B22" s="0" t="s">
        <v>109</v>
      </c>
      <c r="C22" s="17" t="n">
        <f aca="false">C7+Inputs!$C$23-Inputs!$C$22</f>
        <v>51162.81164</v>
      </c>
    </row>
    <row r="23" customFormat="false" ht="15" hidden="false" customHeight="false" outlineLevel="0" collapsed="false">
      <c r="B23" s="0" t="s">
        <v>110</v>
      </c>
      <c r="C23" s="24" t="n">
        <f aca="false">C22/Inputs!$D$15</f>
        <v>19.4092608649469</v>
      </c>
    </row>
    <row r="24" customFormat="false" ht="15" hidden="false" customHeight="false" outlineLevel="0" collapsed="false">
      <c r="B24" s="0" t="s">
        <v>111</v>
      </c>
      <c r="C24" s="24" t="n">
        <f aca="false">C22/Inputs!$C$28</f>
        <v>15.0478857764706</v>
      </c>
    </row>
    <row r="25" customFormat="false" ht="15" hidden="false" customHeight="false" outlineLevel="0" collapsed="false">
      <c r="B25" s="0" t="s">
        <v>112</v>
      </c>
      <c r="C25" s="24" t="n">
        <f aca="false">Inputs!$C$40/Inputs!$D$15</f>
        <v>6.82935277429571</v>
      </c>
    </row>
    <row r="26" customFormat="false" ht="15" hidden="false" customHeight="false" outlineLevel="0" collapsed="false">
      <c r="B26" s="0" t="s">
        <v>113</v>
      </c>
      <c r="C26" s="24" t="n">
        <f aca="false">Inputs!$C$40/Inputs!$C$28</f>
        <v>5.29475703324808</v>
      </c>
    </row>
    <row r="27" customFormat="false" ht="15" hidden="false" customHeight="false" outlineLevel="0" collapsed="false">
      <c r="B27" s="0" t="s">
        <v>114</v>
      </c>
      <c r="C27" s="11" t="n">
        <f aca="false">C17/C18</f>
        <v>0.635348536736344</v>
      </c>
    </row>
    <row r="28" customFormat="false" ht="15" hidden="false" customHeight="false" outlineLevel="0" collapsed="false">
      <c r="B28" s="0" t="s">
        <v>53</v>
      </c>
      <c r="C28" s="25" t="n">
        <f aca="false">Inputs!$C$31</f>
        <v>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6.71"/>
    <col collapsed="false" customWidth="true" hidden="false" outlineLevel="0" max="8" min="3" style="0" width="12.71"/>
  </cols>
  <sheetData>
    <row r="2" customFormat="false" ht="17.35" hidden="false" customHeight="false" outlineLevel="0" collapsed="false">
      <c r="B2" s="1" t="s">
        <v>115</v>
      </c>
    </row>
    <row r="3" customFormat="false" ht="15" hidden="false" customHeight="false" outlineLevel="0" collapsed="false">
      <c r="B3" s="2" t="s">
        <v>18</v>
      </c>
    </row>
    <row r="4" customFormat="false" ht="15" hidden="false" customHeight="false" outlineLevel="0" collapsed="false">
      <c r="B4" s="3" t="str">
        <f aca="false">"Scenario: "&amp;Inputs!$D$5</f>
        <v>Scenario: Base</v>
      </c>
    </row>
    <row r="6" customFormat="false" ht="15" hidden="false" customHeight="false" outlineLevel="0" collapsed="false">
      <c r="C6" s="7" t="s">
        <v>116</v>
      </c>
      <c r="D6" s="7" t="s">
        <v>117</v>
      </c>
      <c r="E6" s="7" t="s">
        <v>118</v>
      </c>
      <c r="F6" s="7" t="s">
        <v>119</v>
      </c>
      <c r="G6" s="7" t="s">
        <v>120</v>
      </c>
      <c r="H6" s="7" t="s">
        <v>121</v>
      </c>
    </row>
    <row r="7" customFormat="false" ht="15" hidden="false" customHeight="false" outlineLevel="0" collapsed="false">
      <c r="B7" s="3" t="s">
        <v>24</v>
      </c>
      <c r="C7" s="22" t="n">
        <f aca="false">Inputs!$D$10</f>
        <v>8026</v>
      </c>
      <c r="D7" s="17" t="n">
        <f aca="false">C7*(1+Inputs!$F$44)</f>
        <v>8427.3</v>
      </c>
      <c r="E7" s="17" t="n">
        <f aca="false">D7*(1+Inputs!$F$44)</f>
        <v>8848.665</v>
      </c>
      <c r="F7" s="17" t="n">
        <f aca="false">E7*(1+Inputs!$F$44)</f>
        <v>9291.09825</v>
      </c>
      <c r="G7" s="17" t="n">
        <f aca="false">F7*(1+Inputs!$F$44)</f>
        <v>9755.6531625</v>
      </c>
      <c r="H7" s="17" t="n">
        <f aca="false">G7*(1+Inputs!$F$44)</f>
        <v>10243.435820625</v>
      </c>
    </row>
    <row r="8" customFormat="false" ht="15" hidden="false" customHeight="false" outlineLevel="0" collapsed="false">
      <c r="B8" s="0" t="s">
        <v>122</v>
      </c>
      <c r="D8" s="11" t="n">
        <f aca="false">D7/C7-1</f>
        <v>0.05</v>
      </c>
      <c r="E8" s="11" t="n">
        <f aca="false">E7/D7-1</f>
        <v>0.05</v>
      </c>
      <c r="F8" s="11" t="n">
        <f aca="false">F7/E7-1</f>
        <v>0.05</v>
      </c>
      <c r="G8" s="11" t="n">
        <f aca="false">G7/F7-1</f>
        <v>0.05</v>
      </c>
      <c r="H8" s="11" t="n">
        <f aca="false">H7/G7-1</f>
        <v>0.05</v>
      </c>
    </row>
    <row r="9" customFormat="false" ht="15" hidden="false" customHeight="false" outlineLevel="0" collapsed="false">
      <c r="B9" s="0" t="s">
        <v>123</v>
      </c>
      <c r="D9" s="17" t="n">
        <f aca="false">D7*Inputs!$D$16</f>
        <v>2767.8</v>
      </c>
      <c r="E9" s="17" t="n">
        <f aca="false">E7*Inputs!$D$16</f>
        <v>2906.19</v>
      </c>
      <c r="F9" s="17" t="n">
        <f aca="false">F7*Inputs!$D$16</f>
        <v>3051.4995</v>
      </c>
      <c r="G9" s="17" t="n">
        <f aca="false">G7*Inputs!$D$16</f>
        <v>3204.074475</v>
      </c>
      <c r="H9" s="17" t="n">
        <f aca="false">H7*Inputs!$D$16</f>
        <v>3364.27819875</v>
      </c>
    </row>
    <row r="10" customFormat="false" ht="15" hidden="false" customHeight="false" outlineLevel="0" collapsed="false">
      <c r="B10" s="0" t="s">
        <v>124</v>
      </c>
      <c r="D10" s="17" t="n">
        <f aca="false">Inputs!$F$45*0.5</f>
        <v>200</v>
      </c>
      <c r="E10" s="17" t="n">
        <f aca="false">Inputs!$F$45*1</f>
        <v>400</v>
      </c>
      <c r="F10" s="17" t="n">
        <f aca="false">Inputs!$F$45*1</f>
        <v>400</v>
      </c>
      <c r="G10" s="17" t="n">
        <f aca="false">Inputs!$F$45*1</f>
        <v>400</v>
      </c>
      <c r="H10" s="17" t="n">
        <f aca="false">Inputs!$F$45*1</f>
        <v>400</v>
      </c>
    </row>
    <row r="11" customFormat="false" ht="15" hidden="false" customHeight="false" outlineLevel="0" collapsed="false">
      <c r="B11" s="3" t="s">
        <v>125</v>
      </c>
      <c r="C11" s="22" t="n">
        <f aca="false">Inputs!$D$15</f>
        <v>2636</v>
      </c>
      <c r="D11" s="9" t="n">
        <f aca="false">D9+D10</f>
        <v>2967.8</v>
      </c>
      <c r="E11" s="9" t="n">
        <f aca="false">E9+E10</f>
        <v>3306.19</v>
      </c>
      <c r="F11" s="9" t="n">
        <f aca="false">F9+F10</f>
        <v>3451.4995</v>
      </c>
      <c r="G11" s="9" t="n">
        <f aca="false">G9+G10</f>
        <v>3604.074475</v>
      </c>
      <c r="H11" s="9" t="n">
        <f aca="false">H9+H10</f>
        <v>3764.27819875</v>
      </c>
    </row>
    <row r="12" customFormat="false" ht="15" hidden="false" customHeight="false" outlineLevel="0" collapsed="false">
      <c r="B12" s="0" t="s">
        <v>126</v>
      </c>
      <c r="C12" s="11" t="n">
        <f aca="false">C11/C7</f>
        <v>0.328432594069275</v>
      </c>
      <c r="D12" s="11" t="n">
        <f aca="false">D11/D7</f>
        <v>0.352164987599824</v>
      </c>
      <c r="E12" s="11" t="n">
        <f aca="false">E11/E7</f>
        <v>0.373637153175083</v>
      </c>
      <c r="F12" s="11" t="n">
        <f aca="false">F11/F7</f>
        <v>0.371484555122426</v>
      </c>
      <c r="G12" s="11" t="n">
        <f aca="false">G11/G7</f>
        <v>0.369434461738943</v>
      </c>
      <c r="H12" s="11" t="n">
        <f aca="false">H11/H7</f>
        <v>0.367481991849911</v>
      </c>
    </row>
    <row r="13" customFormat="false" ht="15" hidden="false" customHeight="false" outlineLevel="0" collapsed="false">
      <c r="B13" s="0" t="s">
        <v>127</v>
      </c>
      <c r="D13" s="17" t="n">
        <f aca="false">-D7*Inputs!$C$51*Inputs!$C$52</f>
        <v>-344.4</v>
      </c>
      <c r="E13" s="17" t="n">
        <f aca="false">-E7*Inputs!$C$51*Inputs!$C$52</f>
        <v>-361.62</v>
      </c>
      <c r="F13" s="17" t="n">
        <f aca="false">-F7*Inputs!$C$51*Inputs!$C$52</f>
        <v>-379.701</v>
      </c>
      <c r="G13" s="17" t="n">
        <f aca="false">-G7*Inputs!$C$51*Inputs!$C$52</f>
        <v>-398.68605</v>
      </c>
      <c r="H13" s="17" t="n">
        <f aca="false">-H7*Inputs!$C$51*Inputs!$C$52</f>
        <v>-418.6203525</v>
      </c>
    </row>
    <row r="14" customFormat="false" ht="15" hidden="false" customHeight="false" outlineLevel="0" collapsed="false">
      <c r="B14" s="0" t="s">
        <v>128</v>
      </c>
      <c r="D14" s="17" t="n">
        <f aca="false">-D7*Inputs!$C$49</f>
        <v>-339.15</v>
      </c>
      <c r="E14" s="17" t="n">
        <f aca="false">-E7*Inputs!$C$49</f>
        <v>-356.1075</v>
      </c>
      <c r="F14" s="17" t="n">
        <f aca="false">-F7*Inputs!$C$49</f>
        <v>-373.912875</v>
      </c>
      <c r="G14" s="17" t="n">
        <f aca="false">-G7*Inputs!$C$49</f>
        <v>-392.60851875</v>
      </c>
      <c r="H14" s="17" t="n">
        <f aca="false">-H7*Inputs!$C$49</f>
        <v>-412.2389446875</v>
      </c>
    </row>
    <row r="15" customFormat="false" ht="15" hidden="false" customHeight="false" outlineLevel="0" collapsed="false">
      <c r="B15" s="0" t="s">
        <v>129</v>
      </c>
      <c r="D15" s="22" t="n">
        <f aca="false">-'Debt Schedule'!D$54</f>
        <v>-1243.26086956522</v>
      </c>
      <c r="E15" s="22" t="n">
        <f aca="false">-'Debt Schedule'!E$54</f>
        <v>-1191.53726684783</v>
      </c>
      <c r="F15" s="22" t="n">
        <f aca="false">-'Debt Schedule'!F$54</f>
        <v>-1124.07970296736</v>
      </c>
      <c r="G15" s="22" t="n">
        <f aca="false">-'Debt Schedule'!G$54</f>
        <v>-1048.65470878005</v>
      </c>
      <c r="H15" s="22" t="n">
        <f aca="false">-'Debt Schedule'!H$54</f>
        <v>-940.010250818139</v>
      </c>
    </row>
    <row r="16" customFormat="false" ht="15" hidden="false" customHeight="false" outlineLevel="0" collapsed="false">
      <c r="B16" s="0" t="s">
        <v>130</v>
      </c>
      <c r="D16" s="17" t="n">
        <f aca="false">D11+D13+D14+D15</f>
        <v>1040.98913043478</v>
      </c>
      <c r="E16" s="17" t="n">
        <f aca="false">E11+E13+E14+E15</f>
        <v>1396.92523315217</v>
      </c>
      <c r="F16" s="17" t="n">
        <f aca="false">F11+F13+F14+F15</f>
        <v>1573.80592203264</v>
      </c>
      <c r="G16" s="17" t="n">
        <f aca="false">G11+G13+G14+G15</f>
        <v>1764.12519746995</v>
      </c>
      <c r="H16" s="17" t="n">
        <f aca="false">H11+H13+H14+H15</f>
        <v>1993.40865074436</v>
      </c>
    </row>
    <row r="17" customFormat="false" ht="15" hidden="false" customHeight="false" outlineLevel="0" collapsed="false">
      <c r="B17" s="0" t="s">
        <v>131</v>
      </c>
      <c r="D17" s="17" t="n">
        <f aca="false">-MAX(D16,0)*Inputs!$C$53</f>
        <v>-218.607717391304</v>
      </c>
      <c r="E17" s="17" t="n">
        <f aca="false">-MAX(E16,0)*Inputs!$C$53</f>
        <v>-293.354298961957</v>
      </c>
      <c r="F17" s="17" t="n">
        <f aca="false">-MAX(F16,0)*Inputs!$C$53</f>
        <v>-330.499243626854</v>
      </c>
      <c r="G17" s="17" t="n">
        <f aca="false">-MAX(G16,0)*Inputs!$C$53</f>
        <v>-370.46629146869</v>
      </c>
      <c r="H17" s="17" t="n">
        <f aca="false">-MAX(H16,0)*Inputs!$C$53</f>
        <v>-418.615816656316</v>
      </c>
    </row>
    <row r="18" customFormat="false" ht="15" hidden="false" customHeight="false" outlineLevel="0" collapsed="false">
      <c r="B18" s="0" t="s">
        <v>132</v>
      </c>
      <c r="D18" s="17" t="n">
        <f aca="false">-D7*Inputs!$C$50</f>
        <v>-241.5</v>
      </c>
      <c r="E18" s="17" t="n">
        <f aca="false">-E7*Inputs!$C$50</f>
        <v>-253.575</v>
      </c>
      <c r="F18" s="17" t="n">
        <f aca="false">-F7*Inputs!$C$50</f>
        <v>-266.25375</v>
      </c>
      <c r="G18" s="17" t="n">
        <f aca="false">-G7*Inputs!$C$50</f>
        <v>-279.5664375</v>
      </c>
      <c r="H18" s="17" t="n">
        <f aca="false">-H7*Inputs!$C$50</f>
        <v>-293.544759375</v>
      </c>
    </row>
    <row r="19" customFormat="false" ht="15" hidden="false" customHeight="false" outlineLevel="0" collapsed="false">
      <c r="B19" s="3" t="s">
        <v>133</v>
      </c>
      <c r="D19" s="9" t="n">
        <f aca="false">D11+D13+D15+D17+D18</f>
        <v>920.031413043478</v>
      </c>
      <c r="E19" s="9" t="n">
        <f aca="false">E11+E13+E15+E17+E18</f>
        <v>1206.10343419022</v>
      </c>
      <c r="F19" s="9" t="n">
        <f aca="false">F11+F13+F15+F17+F18</f>
        <v>1350.96580340578</v>
      </c>
      <c r="G19" s="9" t="n">
        <f aca="false">G11+G13+G15+G17+G18</f>
        <v>1506.70098725126</v>
      </c>
      <c r="H19" s="9" t="n">
        <f aca="false">H11+H13+H15+H17+H18</f>
        <v>1693.48701940055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6.71"/>
    <col collapsed="false" customWidth="true" hidden="false" outlineLevel="0" max="8" min="3" style="0" width="12.71"/>
  </cols>
  <sheetData>
    <row r="2" customFormat="false" ht="17.35" hidden="false" customHeight="false" outlineLevel="0" collapsed="false">
      <c r="B2" s="1" t="s">
        <v>134</v>
      </c>
    </row>
    <row r="3" customFormat="false" ht="15" hidden="false" customHeight="false" outlineLevel="0" collapsed="false">
      <c r="B3" s="2" t="s">
        <v>18</v>
      </c>
    </row>
    <row r="6" customFormat="false" ht="15" hidden="false" customHeight="false" outlineLevel="0" collapsed="false">
      <c r="C6" s="7" t="s">
        <v>135</v>
      </c>
      <c r="D6" s="7" t="s">
        <v>117</v>
      </c>
      <c r="E6" s="7" t="s">
        <v>118</v>
      </c>
      <c r="F6" s="7" t="s">
        <v>119</v>
      </c>
      <c r="G6" s="7" t="s">
        <v>120</v>
      </c>
      <c r="H6" s="7" t="s">
        <v>121</v>
      </c>
    </row>
    <row r="7" customFormat="false" ht="15" hidden="false" customHeight="false" outlineLevel="0" collapsed="false">
      <c r="B7" s="3" t="s">
        <v>61</v>
      </c>
    </row>
    <row r="8" customFormat="false" ht="15" hidden="false" customHeight="false" outlineLevel="0" collapsed="false">
      <c r="B8" s="0" t="s">
        <v>136</v>
      </c>
      <c r="D8" s="17" t="n">
        <f aca="false">C11</f>
        <v>3250</v>
      </c>
      <c r="E8" s="17" t="n">
        <f aca="false">D11</f>
        <v>2411.21858695652</v>
      </c>
      <c r="F8" s="17" t="n">
        <f aca="false">E11</f>
        <v>1286.3651527663</v>
      </c>
      <c r="G8" s="17" t="n">
        <f aca="false">F11</f>
        <v>16.6493493605221</v>
      </c>
      <c r="H8" s="17" t="n">
        <f aca="false">G11</f>
        <v>0</v>
      </c>
    </row>
    <row r="9" customFormat="false" ht="15" hidden="false" customHeight="false" outlineLevel="0" collapsed="false">
      <c r="B9" s="0" t="s">
        <v>137</v>
      </c>
      <c r="D9" s="17" t="n">
        <f aca="false">-MIN(Inputs!$C$34*Inputs!$G$34,D8)</f>
        <v>-162.5</v>
      </c>
      <c r="E9" s="17" t="n">
        <f aca="false">-MIN(Inputs!$C$34*Inputs!$G$34,E8)</f>
        <v>-162.5</v>
      </c>
      <c r="F9" s="17" t="n">
        <f aca="false">-MIN(Inputs!$C$34*Inputs!$G$34,F8)</f>
        <v>-162.5</v>
      </c>
      <c r="G9" s="17" t="n">
        <f aca="false">-MIN(Inputs!$C$34*Inputs!$G$34,G8)</f>
        <v>-16.6493493605221</v>
      </c>
      <c r="H9" s="17" t="n">
        <f aca="false">-MIN(Inputs!$C$34*Inputs!$G$34,H8)</f>
        <v>-0</v>
      </c>
    </row>
    <row r="10" customFormat="false" ht="15" hidden="false" customHeight="false" outlineLevel="0" collapsed="false">
      <c r="B10" s="0" t="s">
        <v>138</v>
      </c>
      <c r="D10" s="17" t="n">
        <f aca="false">-MIN(D50,D8+D9)</f>
        <v>-676.281413043478</v>
      </c>
      <c r="E10" s="17" t="n">
        <f aca="false">-MIN(E50,E8+E9)</f>
        <v>-962.353434190218</v>
      </c>
      <c r="F10" s="17" t="n">
        <f aca="false">-MIN(F50,F8+F9)</f>
        <v>-1107.21580340578</v>
      </c>
      <c r="G10" s="17" t="n">
        <f aca="false">-MIN(G50,G8+G9)</f>
        <v>-0</v>
      </c>
      <c r="H10" s="17" t="n">
        <f aca="false">-MIN(H50,H8+H9)</f>
        <v>-0</v>
      </c>
    </row>
    <row r="11" customFormat="false" ht="15" hidden="false" customHeight="false" outlineLevel="0" collapsed="false">
      <c r="B11" s="0" t="s">
        <v>139</v>
      </c>
      <c r="C11" s="22" t="n">
        <f aca="false">Inputs!$C$34</f>
        <v>3250</v>
      </c>
      <c r="D11" s="9" t="n">
        <f aca="false">D8+D9+D10</f>
        <v>2411.21858695652</v>
      </c>
      <c r="E11" s="9" t="n">
        <f aca="false">E8+E9+E10</f>
        <v>1286.3651527663</v>
      </c>
      <c r="F11" s="9" t="n">
        <f aca="false">F8+F9+F10</f>
        <v>16.6493493605221</v>
      </c>
      <c r="G11" s="9" t="n">
        <f aca="false">G8+G9+G10</f>
        <v>0</v>
      </c>
      <c r="H11" s="9" t="n">
        <f aca="false">H8+H9+H10</f>
        <v>0</v>
      </c>
    </row>
    <row r="12" customFormat="false" ht="15" hidden="false" customHeight="false" outlineLevel="0" collapsed="false">
      <c r="B12" s="0" t="s">
        <v>140</v>
      </c>
      <c r="D12" s="17" t="n">
        <f aca="false">D8*Inputs!$F$34</f>
        <v>178.75</v>
      </c>
      <c r="E12" s="17" t="n">
        <f aca="false">E8*Inputs!$F$34</f>
        <v>132.617022282609</v>
      </c>
      <c r="F12" s="17" t="n">
        <f aca="false">F8*Inputs!$F$34</f>
        <v>70.7500834021467</v>
      </c>
      <c r="G12" s="17" t="n">
        <f aca="false">G8*Inputs!$F$34</f>
        <v>0.915714214828718</v>
      </c>
      <c r="H12" s="17" t="n">
        <f aca="false">H8*Inputs!$F$34</f>
        <v>0</v>
      </c>
    </row>
    <row r="14" customFormat="false" ht="15" hidden="false" customHeight="false" outlineLevel="0" collapsed="false">
      <c r="B14" s="3" t="s">
        <v>64</v>
      </c>
    </row>
    <row r="15" customFormat="false" ht="15" hidden="false" customHeight="false" outlineLevel="0" collapsed="false">
      <c r="B15" s="0" t="s">
        <v>136</v>
      </c>
      <c r="D15" s="17" t="n">
        <f aca="false">C18</f>
        <v>6125</v>
      </c>
      <c r="E15" s="17" t="n">
        <f aca="false">D18</f>
        <v>6063.75</v>
      </c>
      <c r="F15" s="17" t="n">
        <f aca="false">E18</f>
        <v>6002.5</v>
      </c>
      <c r="G15" s="17" t="n">
        <f aca="false">F18</f>
        <v>5941.25</v>
      </c>
      <c r="H15" s="17" t="n">
        <f aca="false">G18</f>
        <v>4471.19836210926</v>
      </c>
    </row>
    <row r="16" customFormat="false" ht="15" hidden="false" customHeight="false" outlineLevel="0" collapsed="false">
      <c r="B16" s="0" t="s">
        <v>137</v>
      </c>
      <c r="D16" s="17" t="n">
        <f aca="false">-MIN(Inputs!$C$35*Inputs!$G$35,D15)</f>
        <v>-61.25</v>
      </c>
      <c r="E16" s="17" t="n">
        <f aca="false">-MIN(Inputs!$C$35*Inputs!$G$35,E15)</f>
        <v>-61.25</v>
      </c>
      <c r="F16" s="17" t="n">
        <f aca="false">-MIN(Inputs!$C$35*Inputs!$G$35,F15)</f>
        <v>-61.25</v>
      </c>
      <c r="G16" s="17" t="n">
        <f aca="false">-MIN(Inputs!$C$35*Inputs!$G$35,G15)</f>
        <v>-61.25</v>
      </c>
      <c r="H16" s="17" t="n">
        <f aca="false">-MIN(Inputs!$C$35*Inputs!$G$35,H15)</f>
        <v>-61.25</v>
      </c>
    </row>
    <row r="17" customFormat="false" ht="15" hidden="false" customHeight="false" outlineLevel="0" collapsed="false">
      <c r="B17" s="0" t="s">
        <v>138</v>
      </c>
      <c r="D17" s="17" t="n">
        <f aca="false">-MIN(D50+D10,D15+D16)</f>
        <v>-0</v>
      </c>
      <c r="E17" s="17" t="n">
        <f aca="false">-MIN(E50+E10,E15+E16)</f>
        <v>-0</v>
      </c>
      <c r="F17" s="17" t="n">
        <f aca="false">-MIN(F50+F10,F15+F16)</f>
        <v>-0</v>
      </c>
      <c r="G17" s="17" t="n">
        <f aca="false">-MIN(G50+G10,G15+G16)</f>
        <v>-1408.80163789074</v>
      </c>
      <c r="H17" s="17" t="n">
        <f aca="false">-MIN(H50+H10,H15+H16)</f>
        <v>-1612.23701940055</v>
      </c>
    </row>
    <row r="18" customFormat="false" ht="15" hidden="false" customHeight="false" outlineLevel="0" collapsed="false">
      <c r="B18" s="0" t="s">
        <v>139</v>
      </c>
      <c r="C18" s="22" t="n">
        <f aca="false">Inputs!$C$35</f>
        <v>6125</v>
      </c>
      <c r="D18" s="9" t="n">
        <f aca="false">D15+D16+D17</f>
        <v>6063.75</v>
      </c>
      <c r="E18" s="9" t="n">
        <f aca="false">E15+E16+E17</f>
        <v>6002.5</v>
      </c>
      <c r="F18" s="9" t="n">
        <f aca="false">F15+F16+F17</f>
        <v>5941.25</v>
      </c>
      <c r="G18" s="9" t="n">
        <f aca="false">G15+G16+G17</f>
        <v>4471.19836210926</v>
      </c>
      <c r="H18" s="9" t="n">
        <f aca="false">H15+H16+H17</f>
        <v>2797.71134270871</v>
      </c>
    </row>
    <row r="19" customFormat="false" ht="15" hidden="false" customHeight="false" outlineLevel="0" collapsed="false">
      <c r="B19" s="0" t="s">
        <v>140</v>
      </c>
      <c r="D19" s="17" t="n">
        <f aca="false">D15*Inputs!$F$35</f>
        <v>444.0625</v>
      </c>
      <c r="E19" s="17" t="n">
        <f aca="false">E15*Inputs!$F$35</f>
        <v>439.621875</v>
      </c>
      <c r="F19" s="17" t="n">
        <f aca="false">F15*Inputs!$F$35</f>
        <v>435.18125</v>
      </c>
      <c r="G19" s="17" t="n">
        <f aca="false">G15*Inputs!$F$35</f>
        <v>430.740625</v>
      </c>
      <c r="H19" s="17" t="n">
        <f aca="false">H15*Inputs!$F$35</f>
        <v>324.161881252921</v>
      </c>
    </row>
    <row r="21" customFormat="false" ht="15" hidden="false" customHeight="false" outlineLevel="0" collapsed="false">
      <c r="B21" s="3" t="s">
        <v>66</v>
      </c>
    </row>
    <row r="22" customFormat="false" ht="15" hidden="false" customHeight="false" outlineLevel="0" collapsed="false">
      <c r="B22" s="0" t="s">
        <v>136</v>
      </c>
      <c r="D22" s="17" t="n">
        <f aca="false">C25</f>
        <v>2000</v>
      </c>
      <c r="E22" s="17" t="n">
        <f aca="false">D25</f>
        <v>1980</v>
      </c>
      <c r="F22" s="17" t="n">
        <f aca="false">E25</f>
        <v>1960</v>
      </c>
      <c r="G22" s="17" t="n">
        <f aca="false">F25</f>
        <v>1940</v>
      </c>
      <c r="H22" s="17" t="n">
        <f aca="false">G25</f>
        <v>1920</v>
      </c>
    </row>
    <row r="23" customFormat="false" ht="15" hidden="false" customHeight="false" outlineLevel="0" collapsed="false">
      <c r="B23" s="0" t="s">
        <v>137</v>
      </c>
      <c r="D23" s="17" t="n">
        <f aca="false">-MIN(Inputs!$C$36*Inputs!$G$36,D22)</f>
        <v>-20</v>
      </c>
      <c r="E23" s="17" t="n">
        <f aca="false">-MIN(Inputs!$C$36*Inputs!$G$36,E22)</f>
        <v>-20</v>
      </c>
      <c r="F23" s="17" t="n">
        <f aca="false">-MIN(Inputs!$C$36*Inputs!$G$36,F22)</f>
        <v>-20</v>
      </c>
      <c r="G23" s="17" t="n">
        <f aca="false">-MIN(Inputs!$C$36*Inputs!$G$36,G22)</f>
        <v>-20</v>
      </c>
      <c r="H23" s="17" t="n">
        <f aca="false">-MIN(Inputs!$C$36*Inputs!$G$36,H22)</f>
        <v>-20</v>
      </c>
    </row>
    <row r="24" customFormat="false" ht="15" hidden="false" customHeight="false" outlineLevel="0" collapsed="false">
      <c r="B24" s="0" t="s">
        <v>138</v>
      </c>
      <c r="D24" s="17" t="n">
        <f aca="false">-MIN(D50+D10+D17,D22+D23)</f>
        <v>-0</v>
      </c>
      <c r="E24" s="17" t="n">
        <f aca="false">-MIN(E50+E10+E17,E22+E23)</f>
        <v>-0</v>
      </c>
      <c r="F24" s="17" t="n">
        <f aca="false">-MIN(F50+F10+F17,F22+F23)</f>
        <v>-0</v>
      </c>
      <c r="G24" s="17" t="n">
        <f aca="false">-MIN(G50+G10+G17,G22+G23)</f>
        <v>-0</v>
      </c>
      <c r="H24" s="17" t="n">
        <f aca="false">-MIN(H50+H10+H17,H22+H23)</f>
        <v>-0</v>
      </c>
    </row>
    <row r="25" customFormat="false" ht="15" hidden="false" customHeight="false" outlineLevel="0" collapsed="false">
      <c r="B25" s="0" t="s">
        <v>139</v>
      </c>
      <c r="C25" s="22" t="n">
        <f aca="false">Inputs!$C$36</f>
        <v>2000</v>
      </c>
      <c r="D25" s="9" t="n">
        <f aca="false">D22+D23+D24</f>
        <v>1980</v>
      </c>
      <c r="E25" s="9" t="n">
        <f aca="false">E22+E23+E24</f>
        <v>1960</v>
      </c>
      <c r="F25" s="9" t="n">
        <f aca="false">F22+F23+F24</f>
        <v>1940</v>
      </c>
      <c r="G25" s="9" t="n">
        <f aca="false">G22+G23+G24</f>
        <v>1920</v>
      </c>
      <c r="H25" s="9" t="n">
        <f aca="false">H22+H23+H24</f>
        <v>1900</v>
      </c>
    </row>
    <row r="26" customFormat="false" ht="15" hidden="false" customHeight="false" outlineLevel="0" collapsed="false">
      <c r="B26" s="0" t="s">
        <v>140</v>
      </c>
      <c r="D26" s="17" t="n">
        <f aca="false">D22*Inputs!$F$36</f>
        <v>115</v>
      </c>
      <c r="E26" s="17" t="n">
        <f aca="false">E22*Inputs!$F$36</f>
        <v>113.85</v>
      </c>
      <c r="F26" s="17" t="n">
        <f aca="false">F22*Inputs!$F$36</f>
        <v>112.7</v>
      </c>
      <c r="G26" s="17" t="n">
        <f aca="false">G22*Inputs!$F$36</f>
        <v>111.55</v>
      </c>
      <c r="H26" s="17" t="n">
        <f aca="false">H22*Inputs!$F$36</f>
        <v>110.4</v>
      </c>
    </row>
    <row r="28" customFormat="false" ht="15" hidden="false" customHeight="false" outlineLevel="0" collapsed="false">
      <c r="B28" s="3" t="s">
        <v>67</v>
      </c>
    </row>
    <row r="29" customFormat="false" ht="15" hidden="false" customHeight="false" outlineLevel="0" collapsed="false">
      <c r="B29" s="0" t="s">
        <v>136</v>
      </c>
      <c r="D29" s="17" t="n">
        <f aca="false">C32</f>
        <v>2875</v>
      </c>
      <c r="E29" s="17" t="n">
        <f aca="false">D32</f>
        <v>2875</v>
      </c>
      <c r="F29" s="17" t="n">
        <f aca="false">E32</f>
        <v>2875</v>
      </c>
      <c r="G29" s="17" t="n">
        <f aca="false">F32</f>
        <v>2875</v>
      </c>
      <c r="H29" s="17" t="n">
        <f aca="false">G32</f>
        <v>2875</v>
      </c>
    </row>
    <row r="30" customFormat="false" ht="15" hidden="false" customHeight="false" outlineLevel="0" collapsed="false">
      <c r="B30" s="0" t="s">
        <v>137</v>
      </c>
      <c r="D30" s="17" t="n">
        <f aca="false">-MIN(Inputs!$C$37*Inputs!$G$37,D29)</f>
        <v>-0</v>
      </c>
      <c r="E30" s="17" t="n">
        <f aca="false">-MIN(Inputs!$C$37*Inputs!$G$37,E29)</f>
        <v>-0</v>
      </c>
      <c r="F30" s="17" t="n">
        <f aca="false">-MIN(Inputs!$C$37*Inputs!$G$37,F29)</f>
        <v>-0</v>
      </c>
      <c r="G30" s="17" t="n">
        <f aca="false">-MIN(Inputs!$C$37*Inputs!$G$37,G29)</f>
        <v>-0</v>
      </c>
      <c r="H30" s="17" t="n">
        <f aca="false">-MIN(Inputs!$C$37*Inputs!$G$37,H29)</f>
        <v>-0</v>
      </c>
    </row>
    <row r="31" customFormat="false" ht="15" hidden="false" customHeight="false" outlineLevel="0" collapsed="false">
      <c r="B31" s="0" t="s">
        <v>138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</row>
    <row r="32" customFormat="false" ht="15" hidden="false" customHeight="false" outlineLevel="0" collapsed="false">
      <c r="B32" s="0" t="s">
        <v>139</v>
      </c>
      <c r="C32" s="22" t="n">
        <f aca="false">Inputs!$C$37</f>
        <v>2875</v>
      </c>
      <c r="D32" s="9" t="n">
        <f aca="false">D29+D30+D31</f>
        <v>2875</v>
      </c>
      <c r="E32" s="9" t="n">
        <f aca="false">E29+E30+E31</f>
        <v>2875</v>
      </c>
      <c r="F32" s="9" t="n">
        <f aca="false">F29+F30+F31</f>
        <v>2875</v>
      </c>
      <c r="G32" s="9" t="n">
        <f aca="false">G29+G30+G31</f>
        <v>2875</v>
      </c>
      <c r="H32" s="9" t="n">
        <f aca="false">H29+H30+H31</f>
        <v>2875</v>
      </c>
    </row>
    <row r="33" customFormat="false" ht="15" hidden="false" customHeight="false" outlineLevel="0" collapsed="false">
      <c r="B33" s="0" t="s">
        <v>140</v>
      </c>
      <c r="D33" s="17" t="n">
        <f aca="false">D29*Inputs!$F$37</f>
        <v>208.4375</v>
      </c>
      <c r="E33" s="17" t="n">
        <f aca="false">E29*Inputs!$F$37</f>
        <v>208.4375</v>
      </c>
      <c r="F33" s="17" t="n">
        <f aca="false">F29*Inputs!$F$37</f>
        <v>208.4375</v>
      </c>
      <c r="G33" s="17" t="n">
        <f aca="false">G29*Inputs!$F$37</f>
        <v>208.4375</v>
      </c>
      <c r="H33" s="17" t="n">
        <f aca="false">H29*Inputs!$F$37</f>
        <v>208.4375</v>
      </c>
    </row>
    <row r="35" customFormat="false" ht="15" hidden="false" customHeight="false" outlineLevel="0" collapsed="false">
      <c r="B35" s="3" t="s">
        <v>69</v>
      </c>
    </row>
    <row r="36" customFormat="false" ht="15" hidden="false" customHeight="false" outlineLevel="0" collapsed="false">
      <c r="B36" s="0" t="s">
        <v>136</v>
      </c>
      <c r="D36" s="17" t="n">
        <f aca="false">C39</f>
        <v>1252.17391304348</v>
      </c>
      <c r="E36" s="17" t="n">
        <f aca="false">D39</f>
        <v>1252.17391304348</v>
      </c>
      <c r="F36" s="17" t="n">
        <f aca="false">E39</f>
        <v>1252.17391304348</v>
      </c>
      <c r="G36" s="17" t="n">
        <f aca="false">F39</f>
        <v>1252.17391304348</v>
      </c>
      <c r="H36" s="17" t="n">
        <f aca="false">G39</f>
        <v>1252.17391304348</v>
      </c>
    </row>
    <row r="37" customFormat="false" ht="15" hidden="false" customHeight="false" outlineLevel="0" collapsed="false">
      <c r="B37" s="0" t="s">
        <v>137</v>
      </c>
      <c r="D37" s="17" t="n">
        <f aca="false">-MIN(Inputs!$C$38*Inputs!$G$38,D36)</f>
        <v>-0</v>
      </c>
      <c r="E37" s="17" t="n">
        <f aca="false">-MIN(Inputs!$C$38*Inputs!$G$38,E36)</f>
        <v>-0</v>
      </c>
      <c r="F37" s="17" t="n">
        <f aca="false">-MIN(Inputs!$C$38*Inputs!$G$38,F36)</f>
        <v>-0</v>
      </c>
      <c r="G37" s="17" t="n">
        <f aca="false">-MIN(Inputs!$C$38*Inputs!$G$38,G36)</f>
        <v>-0</v>
      </c>
      <c r="H37" s="17" t="n">
        <f aca="false">-MIN(Inputs!$C$38*Inputs!$G$38,H36)</f>
        <v>-0</v>
      </c>
    </row>
    <row r="38" customFormat="false" ht="15" hidden="false" customHeight="false" outlineLevel="0" collapsed="false">
      <c r="B38" s="0" t="s">
        <v>138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</row>
    <row r="39" customFormat="false" ht="15" hidden="false" customHeight="false" outlineLevel="0" collapsed="false">
      <c r="B39" s="0" t="s">
        <v>139</v>
      </c>
      <c r="C39" s="22" t="n">
        <f aca="false">Inputs!$C$38</f>
        <v>1252.17391304348</v>
      </c>
      <c r="D39" s="9" t="n">
        <f aca="false">D36+D37+D38</f>
        <v>1252.17391304348</v>
      </c>
      <c r="E39" s="9" t="n">
        <f aca="false">E36+E37+E38</f>
        <v>1252.17391304348</v>
      </c>
      <c r="F39" s="9" t="n">
        <f aca="false">F36+F37+F38</f>
        <v>1252.17391304348</v>
      </c>
      <c r="G39" s="9" t="n">
        <f aca="false">G36+G37+G38</f>
        <v>1252.17391304348</v>
      </c>
      <c r="H39" s="9" t="n">
        <f aca="false">H36+H37+H38</f>
        <v>1252.17391304348</v>
      </c>
    </row>
    <row r="40" customFormat="false" ht="15" hidden="false" customHeight="false" outlineLevel="0" collapsed="false">
      <c r="B40" s="0" t="s">
        <v>140</v>
      </c>
      <c r="D40" s="17" t="n">
        <f aca="false">D36*Inputs!$F$38</f>
        <v>78.2608695652174</v>
      </c>
      <c r="E40" s="17" t="n">
        <f aca="false">E36*Inputs!$F$38</f>
        <v>78.2608695652174</v>
      </c>
      <c r="F40" s="17" t="n">
        <f aca="false">F36*Inputs!$F$38</f>
        <v>78.2608695652174</v>
      </c>
      <c r="G40" s="17" t="n">
        <f aca="false">G36*Inputs!$F$38</f>
        <v>78.2608695652174</v>
      </c>
      <c r="H40" s="17" t="n">
        <f aca="false">H36*Inputs!$F$38</f>
        <v>78.2608695652174</v>
      </c>
    </row>
    <row r="42" customFormat="false" ht="15" hidden="false" customHeight="false" outlineLevel="0" collapsed="false">
      <c r="B42" s="3" t="s">
        <v>70</v>
      </c>
    </row>
    <row r="43" customFormat="false" ht="15" hidden="false" customHeight="false" outlineLevel="0" collapsed="false">
      <c r="B43" s="0" t="s">
        <v>136</v>
      </c>
      <c r="D43" s="17" t="n">
        <f aca="false">C46</f>
        <v>2500</v>
      </c>
      <c r="E43" s="17" t="n">
        <f aca="false">D46</f>
        <v>2500</v>
      </c>
      <c r="F43" s="17" t="n">
        <f aca="false">E46</f>
        <v>2500</v>
      </c>
      <c r="G43" s="17" t="n">
        <f aca="false">F46</f>
        <v>2500</v>
      </c>
      <c r="H43" s="17" t="n">
        <f aca="false">G46</f>
        <v>2500</v>
      </c>
    </row>
    <row r="44" customFormat="false" ht="15" hidden="false" customHeight="false" outlineLevel="0" collapsed="false">
      <c r="B44" s="0" t="s">
        <v>137</v>
      </c>
      <c r="D44" s="17" t="n">
        <f aca="false">-MIN(Inputs!$C$39*Inputs!$G$39,D43)</f>
        <v>-0</v>
      </c>
      <c r="E44" s="17" t="n">
        <f aca="false">-MIN(Inputs!$C$39*Inputs!$G$39,E43)</f>
        <v>-0</v>
      </c>
      <c r="F44" s="17" t="n">
        <f aca="false">-MIN(Inputs!$C$39*Inputs!$G$39,F43)</f>
        <v>-0</v>
      </c>
      <c r="G44" s="17" t="n">
        <f aca="false">-MIN(Inputs!$C$39*Inputs!$G$39,G43)</f>
        <v>-0</v>
      </c>
      <c r="H44" s="17" t="n">
        <f aca="false">-MIN(Inputs!$C$39*Inputs!$G$39,H43)</f>
        <v>-0</v>
      </c>
    </row>
    <row r="45" customFormat="false" ht="15" hidden="false" customHeight="false" outlineLevel="0" collapsed="false">
      <c r="B45" s="0" t="s">
        <v>138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</row>
    <row r="46" customFormat="false" ht="15" hidden="false" customHeight="false" outlineLevel="0" collapsed="false">
      <c r="B46" s="0" t="s">
        <v>139</v>
      </c>
      <c r="C46" s="22" t="n">
        <f aca="false">Inputs!$C$39</f>
        <v>2500</v>
      </c>
      <c r="D46" s="9" t="n">
        <f aca="false">D43+D44+D45</f>
        <v>2500</v>
      </c>
      <c r="E46" s="9" t="n">
        <f aca="false">E43+E44+E45</f>
        <v>2500</v>
      </c>
      <c r="F46" s="9" t="n">
        <f aca="false">F43+F44+F45</f>
        <v>2500</v>
      </c>
      <c r="G46" s="9" t="n">
        <f aca="false">G43+G44+G45</f>
        <v>2500</v>
      </c>
      <c r="H46" s="9" t="n">
        <f aca="false">H43+H44+H45</f>
        <v>2500</v>
      </c>
    </row>
    <row r="47" customFormat="false" ht="15" hidden="false" customHeight="false" outlineLevel="0" collapsed="false">
      <c r="B47" s="0" t="s">
        <v>140</v>
      </c>
      <c r="D47" s="17" t="n">
        <f aca="false">D43*Inputs!$F$39</f>
        <v>218.75</v>
      </c>
      <c r="E47" s="17" t="n">
        <f aca="false">E43*Inputs!$F$39</f>
        <v>218.75</v>
      </c>
      <c r="F47" s="17" t="n">
        <f aca="false">F43*Inputs!$F$39</f>
        <v>218.75</v>
      </c>
      <c r="G47" s="17" t="n">
        <f aca="false">G43*Inputs!$F$39</f>
        <v>218.75</v>
      </c>
      <c r="H47" s="17" t="n">
        <f aca="false">H43*Inputs!$F$39</f>
        <v>218.75</v>
      </c>
    </row>
    <row r="49" customFormat="false" ht="15" hidden="false" customHeight="false" outlineLevel="0" collapsed="false">
      <c r="B49" s="3" t="s">
        <v>141</v>
      </c>
      <c r="D49" s="17" t="n">
        <f aca="false">D9+D16+D23+D30+D37+D44</f>
        <v>-243.75</v>
      </c>
      <c r="E49" s="17" t="n">
        <f aca="false">E9+E16+E23+E30+E37+E44</f>
        <v>-243.75</v>
      </c>
      <c r="F49" s="17" t="n">
        <f aca="false">F9+F16+F23+F30+F37+F44</f>
        <v>-243.75</v>
      </c>
      <c r="G49" s="17" t="n">
        <f aca="false">G9+G16+G23+G30+G37+G44</f>
        <v>-97.8993493605221</v>
      </c>
      <c r="H49" s="17" t="n">
        <f aca="false">H9+H16+H23+H30+H37+H44</f>
        <v>-81.25</v>
      </c>
    </row>
    <row r="50" customFormat="false" ht="15" hidden="false" customHeight="false" outlineLevel="0" collapsed="false">
      <c r="B50" s="3" t="s">
        <v>142</v>
      </c>
      <c r="D50" s="17" t="n">
        <f aca="false">MAX(D51+'Operating Model'!D19+D49-Inputs!$C$24,0)*Inputs!$C$54</f>
        <v>676.281413043478</v>
      </c>
      <c r="E50" s="17" t="n">
        <f aca="false">MAX(E51+'Operating Model'!E19+E49-Inputs!$C$24,0)*Inputs!$C$54</f>
        <v>962.353434190218</v>
      </c>
      <c r="F50" s="17" t="n">
        <f aca="false">MAX(F51+'Operating Model'!F19+F49-Inputs!$C$24,0)*Inputs!$C$54</f>
        <v>1107.21580340578</v>
      </c>
      <c r="G50" s="17" t="n">
        <f aca="false">MAX(G51+'Operating Model'!G19+G49-Inputs!$C$24,0)*Inputs!$C$54</f>
        <v>1408.80163789074</v>
      </c>
      <c r="H50" s="17" t="n">
        <f aca="false">MAX(H51+'Operating Model'!H19+H49-Inputs!$C$24,0)*Inputs!$C$54</f>
        <v>1612.23701940055</v>
      </c>
    </row>
    <row r="51" customFormat="false" ht="15" hidden="false" customHeight="false" outlineLevel="0" collapsed="false">
      <c r="B51" s="3" t="s">
        <v>143</v>
      </c>
      <c r="D51" s="17" t="n">
        <f aca="false">C52</f>
        <v>1000</v>
      </c>
      <c r="E51" s="17" t="n">
        <f aca="false">D52</f>
        <v>1000</v>
      </c>
      <c r="F51" s="17" t="n">
        <f aca="false">E52</f>
        <v>1000</v>
      </c>
      <c r="G51" s="17" t="n">
        <f aca="false">F52</f>
        <v>1000</v>
      </c>
      <c r="H51" s="17" t="n">
        <f aca="false">G52</f>
        <v>1000</v>
      </c>
    </row>
    <row r="52" customFormat="false" ht="15" hidden="false" customHeight="false" outlineLevel="0" collapsed="false">
      <c r="B52" s="3" t="s">
        <v>144</v>
      </c>
      <c r="C52" s="22" t="n">
        <f aca="false">Inputs!$C$24</f>
        <v>1000</v>
      </c>
      <c r="D52" s="17" t="n">
        <f aca="false">D51+'Operating Model'!D19+D49+D10+D17+D24+D31+D38+D45</f>
        <v>1000</v>
      </c>
      <c r="E52" s="17" t="n">
        <f aca="false">E51+'Operating Model'!E19+E49+E10+E17+E24+E31+E38+E45</f>
        <v>1000</v>
      </c>
      <c r="F52" s="17" t="n">
        <f aca="false">F51+'Operating Model'!F19+F49+F10+F17+F24+F31+F38+F45</f>
        <v>1000</v>
      </c>
      <c r="G52" s="17" t="n">
        <f aca="false">G51+'Operating Model'!G19+G49+G10+G17+G24+G31+G38+G45</f>
        <v>1000</v>
      </c>
      <c r="H52" s="17" t="n">
        <f aca="false">H51+'Operating Model'!H19+H49+H10+H17+H24+H31+H38+H45</f>
        <v>1000</v>
      </c>
    </row>
    <row r="53" customFormat="false" ht="15" hidden="false" customHeight="false" outlineLevel="0" collapsed="false">
      <c r="B53" s="3" t="s">
        <v>145</v>
      </c>
      <c r="C53" s="9" t="n">
        <f aca="false">C11+C18+C25+C32+C39+C46</f>
        <v>18002.1739130435</v>
      </c>
      <c r="D53" s="9" t="n">
        <f aca="false">D11+D18+D25+D32+D39+D46</f>
        <v>17082.1425</v>
      </c>
      <c r="E53" s="9" t="n">
        <f aca="false">E11+E18+E25+E32+E39+E46</f>
        <v>15876.0390658098</v>
      </c>
      <c r="F53" s="9" t="n">
        <f aca="false">F11+F18+F25+F32+F39+F46</f>
        <v>14525.073262404</v>
      </c>
      <c r="G53" s="9" t="n">
        <f aca="false">G11+G18+G25+G32+G39+G46</f>
        <v>13018.3722751527</v>
      </c>
      <c r="H53" s="9" t="n">
        <f aca="false">H11+H18+H25+H32+H39+H46</f>
        <v>11324.8852557522</v>
      </c>
    </row>
    <row r="54" customFormat="false" ht="15" hidden="false" customHeight="false" outlineLevel="0" collapsed="false">
      <c r="B54" s="3" t="s">
        <v>146</v>
      </c>
      <c r="D54" s="17" t="n">
        <f aca="false">D12+D19+D26+D33+D40+D47</f>
        <v>1243.26086956522</v>
      </c>
      <c r="E54" s="17" t="n">
        <f aca="false">E12+E19+E26+E33+E40+E47</f>
        <v>1191.53726684783</v>
      </c>
      <c r="F54" s="17" t="n">
        <f aca="false">F12+F19+F26+F33+F40+F47</f>
        <v>1124.07970296736</v>
      </c>
      <c r="G54" s="17" t="n">
        <f aca="false">G12+G19+G26+G33+G40+G47</f>
        <v>1048.65470878005</v>
      </c>
      <c r="H54" s="17" t="n">
        <f aca="false">H12+H19+H26+H33+H40+H47</f>
        <v>940.010250818139</v>
      </c>
    </row>
    <row r="55" customFormat="false" ht="15" hidden="false" customHeight="false" outlineLevel="0" collapsed="false">
      <c r="B55" s="3" t="s">
        <v>147</v>
      </c>
      <c r="C55" s="17" t="n">
        <f aca="false">C53-C52</f>
        <v>17002.1739130435</v>
      </c>
      <c r="D55" s="17" t="n">
        <f aca="false">D53-D52</f>
        <v>16082.1425</v>
      </c>
      <c r="E55" s="17" t="n">
        <f aca="false">E53-E52</f>
        <v>14876.0390658098</v>
      </c>
      <c r="F55" s="17" t="n">
        <f aca="false">F53-F52</f>
        <v>13525.073262404</v>
      </c>
      <c r="G55" s="17" t="n">
        <f aca="false">G53-G52</f>
        <v>12018.3722751527</v>
      </c>
      <c r="H55" s="17" t="n">
        <f aca="false">H53-H52</f>
        <v>10324.8852557522</v>
      </c>
    </row>
    <row r="56" customFormat="false" ht="15" hidden="false" customHeight="false" outlineLevel="0" collapsed="false">
      <c r="B56" s="3" t="s">
        <v>148</v>
      </c>
      <c r="C56" s="24" t="n">
        <f aca="false">C55/Inputs!$D$15</f>
        <v>6.4499901035825</v>
      </c>
      <c r="D56" s="24" t="n">
        <f aca="false">D55/'Operating Model'!D11</f>
        <v>5.41887677741088</v>
      </c>
      <c r="E56" s="24" t="n">
        <f aca="false">E55/'Operating Model'!E11</f>
        <v>4.4994507471772</v>
      </c>
      <c r="F56" s="24" t="n">
        <f aca="false">F55/'Operating Model'!F11</f>
        <v>3.91860791589395</v>
      </c>
      <c r="G56" s="24" t="n">
        <f aca="false">G55/'Operating Model'!G11</f>
        <v>3.33466257662523</v>
      </c>
      <c r="H56" s="24" t="n">
        <f aca="false">H55/'Operating Model'!H11</f>
        <v>2.74285924435148</v>
      </c>
    </row>
    <row r="57" customFormat="false" ht="15" hidden="false" customHeight="false" outlineLevel="0" collapsed="false">
      <c r="B57" s="3" t="s">
        <v>149</v>
      </c>
      <c r="D57" s="24" t="n">
        <f aca="false">'Operating Model'!D11/D54</f>
        <v>2.3871096345515</v>
      </c>
      <c r="E57" s="24" t="n">
        <f aca="false">'Operating Model'!E11/E54</f>
        <v>2.77472647477189</v>
      </c>
      <c r="F57" s="24" t="n">
        <f aca="false">'Operating Model'!F11/F54</f>
        <v>3.07051136221807</v>
      </c>
      <c r="G57" s="24" t="n">
        <f aca="false">'Operating Model'!G11/G54</f>
        <v>3.43685528212886</v>
      </c>
      <c r="H57" s="24" t="n">
        <f aca="false">'Operating Model'!H11/H54</f>
        <v>4.00450760560724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6.71"/>
    <col collapsed="false" customWidth="true" hidden="false" outlineLevel="0" max="3" min="3" style="0" width="14.71"/>
    <col collapsed="false" customWidth="true" hidden="false" outlineLevel="0" max="4" min="4" style="0" width="58.71"/>
  </cols>
  <sheetData>
    <row r="2" customFormat="false" ht="17.35" hidden="false" customHeight="false" outlineLevel="0" collapsed="false">
      <c r="B2" s="1" t="s">
        <v>150</v>
      </c>
    </row>
    <row r="3" customFormat="false" ht="15" hidden="false" customHeight="false" outlineLevel="0" collapsed="false">
      <c r="B3" s="2" t="s">
        <v>18</v>
      </c>
    </row>
    <row r="4" customFormat="false" ht="15" hidden="false" customHeight="false" outlineLevel="0" collapsed="false">
      <c r="B4" s="3" t="str">
        <f aca="false">"Scenario: "&amp;Inputs!$D$5</f>
        <v>Scenario: Base</v>
      </c>
    </row>
    <row r="6" customFormat="false" ht="15" hidden="false" customHeight="false" outlineLevel="0" collapsed="false">
      <c r="B6" s="0" t="s">
        <v>151</v>
      </c>
      <c r="C6" s="22" t="n">
        <f aca="false">'Operating Model'!H11</f>
        <v>3764.27819875</v>
      </c>
    </row>
    <row r="7" customFormat="false" ht="15" hidden="false" customHeight="false" outlineLevel="0" collapsed="false">
      <c r="B7" s="0" t="s">
        <v>152</v>
      </c>
      <c r="C7" s="26" t="n">
        <f aca="false">Inputs!$F$46</f>
        <v>16</v>
      </c>
    </row>
    <row r="8" customFormat="false" ht="15" hidden="false" customHeight="false" outlineLevel="0" collapsed="false">
      <c r="B8" s="0" t="s">
        <v>153</v>
      </c>
      <c r="C8" s="17" t="n">
        <f aca="false">C6*C7</f>
        <v>60228.45118</v>
      </c>
    </row>
    <row r="9" customFormat="false" ht="15" hidden="false" customHeight="false" outlineLevel="0" collapsed="false">
      <c r="B9" s="0" t="s">
        <v>154</v>
      </c>
      <c r="C9" s="22" t="n">
        <f aca="false">-'Debt Schedule'!H55</f>
        <v>-10324.8852557522</v>
      </c>
    </row>
    <row r="10" customFormat="false" ht="15" hidden="false" customHeight="false" outlineLevel="0" collapsed="false">
      <c r="B10" s="3" t="s">
        <v>155</v>
      </c>
      <c r="C10" s="9" t="n">
        <f aca="false">C8+C9</f>
        <v>49903.5659242478</v>
      </c>
    </row>
    <row r="11" customFormat="false" ht="15" hidden="false" customHeight="false" outlineLevel="0" collapsed="false">
      <c r="B11" s="0" t="s">
        <v>156</v>
      </c>
      <c r="C11" s="22" t="n">
        <f aca="false">'Sources &amp; Uses'!$C$17</f>
        <v>34815.8343938522</v>
      </c>
      <c r="D11" s="10" t="s">
        <v>157</v>
      </c>
    </row>
    <row r="12" customFormat="false" ht="15" hidden="false" customHeight="false" outlineLevel="0" collapsed="false">
      <c r="B12" s="0" t="s">
        <v>158</v>
      </c>
      <c r="C12" s="27" t="n">
        <v>5</v>
      </c>
      <c r="D12" s="10" t="s">
        <v>159</v>
      </c>
    </row>
    <row r="13" customFormat="false" ht="15" hidden="false" customHeight="false" outlineLevel="0" collapsed="false">
      <c r="B13" s="3" t="s">
        <v>160</v>
      </c>
      <c r="C13" s="28" t="n">
        <f aca="false">C10/C11</f>
        <v>1.43335832080646</v>
      </c>
    </row>
    <row r="14" customFormat="false" ht="15" hidden="false" customHeight="false" outlineLevel="0" collapsed="false">
      <c r="B14" s="3" t="s">
        <v>161</v>
      </c>
      <c r="C14" s="18" t="n">
        <f aca="false">C13^(1/C12)-1</f>
        <v>0.0746596785874711</v>
      </c>
    </row>
    <row r="15" customFormat="false" ht="15" hidden="false" customHeight="false" outlineLevel="0" collapsed="false">
      <c r="B15" s="0" t="s">
        <v>162</v>
      </c>
      <c r="C15" s="17" t="n">
        <f aca="false">C10/(1+Inputs!$C$55)^C12</f>
        <v>20055.1239086001</v>
      </c>
    </row>
    <row r="16" customFormat="false" ht="15" hidden="false" customHeight="false" outlineLevel="0" collapsed="false">
      <c r="B16" s="3" t="s">
        <v>163</v>
      </c>
      <c r="C16" s="29" t="n">
        <f aca="false">(C15-Inputs!$C$23-Inputs!$C$40*Inputs!$C$25-Inputs!$C$41*Inputs!$C$26+Inputs!$C$40+Inputs!$C$22-Inputs!$C$24)/(Inputs!$C$21*(1+Inputs!$C$27))</f>
        <v>151.42697031983</v>
      </c>
    </row>
    <row r="17" customFormat="false" ht="15" hidden="false" customHeight="false" outlineLevel="0" collapsed="false">
      <c r="B17" s="0" t="s">
        <v>164</v>
      </c>
      <c r="C17" s="11" t="n">
        <f aca="false">C16/Inputs!$C$19-1</f>
        <v>-0.27891918895319</v>
      </c>
    </row>
    <row r="18" customFormat="false" ht="15" hidden="false" customHeight="false" outlineLevel="0" collapsed="false">
      <c r="B18" s="0" t="s">
        <v>165</v>
      </c>
      <c r="C18" s="11" t="n">
        <f aca="false">C16/Inputs!$C$31-1</f>
        <v>-0.0986489861914878</v>
      </c>
    </row>
    <row r="19" customFormat="false" ht="15" hidden="false" customHeight="false" outlineLevel="0" collapsed="false">
      <c r="B19" s="3" t="s">
        <v>166</v>
      </c>
      <c r="C19" s="28" t="n">
        <f aca="false">(C11*(1+Inputs!$C$55)^C12-C9)/C6</f>
        <v>25.7573476707591</v>
      </c>
      <c r="D19" s="10" t="s">
        <v>167</v>
      </c>
    </row>
    <row r="20" customFormat="false" ht="15" hidden="false" customHeight="false" outlineLevel="0" collapsed="false">
      <c r="B20" s="0" t="s">
        <v>168</v>
      </c>
      <c r="C20" s="17" t="n">
        <f aca="false">Inputs!$C$40-'Debt Schedule'!H53</f>
        <v>6677.28865729129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6.71"/>
    <col collapsed="false" customWidth="true" hidden="false" outlineLevel="0" max="8" min="3" style="0" width="11.71"/>
  </cols>
  <sheetData>
    <row r="2" customFormat="false" ht="17.35" hidden="false" customHeight="false" outlineLevel="0" collapsed="false">
      <c r="B2" s="1" t="s">
        <v>169</v>
      </c>
    </row>
    <row r="3" customFormat="false" ht="15" hidden="false" customHeight="false" outlineLevel="0" collapsed="false">
      <c r="B3" s="2" t="s">
        <v>170</v>
      </c>
    </row>
    <row r="6" customFormat="false" ht="15" hidden="false" customHeight="false" outlineLevel="0" collapsed="false">
      <c r="B6" s="6" t="s">
        <v>171</v>
      </c>
      <c r="C6" s="30" t="n">
        <v>12</v>
      </c>
      <c r="D6" s="30" t="n">
        <v>14</v>
      </c>
      <c r="E6" s="30" t="n">
        <v>16</v>
      </c>
      <c r="F6" s="30" t="n">
        <v>18</v>
      </c>
      <c r="G6" s="30" t="n">
        <v>20</v>
      </c>
      <c r="H6" s="30" t="n">
        <v>22</v>
      </c>
    </row>
    <row r="7" customFormat="false" ht="15" hidden="false" customHeight="false" outlineLevel="0" collapsed="false">
      <c r="B7" s="31" t="n">
        <v>150</v>
      </c>
      <c r="C7" s="32" t="n">
        <f aca="false">((Returns!$C$6*C$6+Returns!$C$9)/(($B7*Inputs!$C$21)*(1+Inputs!$C$27)+Inputs!$C$23+Inputs!$C$40*Inputs!$C$25+Inputs!$C$41*Inputs!$C$26-Inputs!$C$40-(Inputs!$C$22-Inputs!$C$24)))^(1/Returns!$C$12)-1</f>
        <v>0.120877692604066</v>
      </c>
      <c r="D7" s="32" t="n">
        <f aca="false">((Returns!$C$6*D$6+Returns!$C$9)/(($B7*Inputs!$C$21)*(1+Inputs!$C$27)+Inputs!$C$23+Inputs!$C$40*Inputs!$C$25+Inputs!$C$41*Inputs!$C$26-Inputs!$C$40-(Inputs!$C$22-Inputs!$C$24)))^(1/Returns!$C$12)-1</f>
        <v>0.165597136578835</v>
      </c>
      <c r="E7" s="32" t="n">
        <f aca="false">((Returns!$C$6*E$6+Returns!$C$9)/(($B7*Inputs!$C$21)*(1+Inputs!$C$27)+Inputs!$C$23+Inputs!$C$40*Inputs!$C$25+Inputs!$C$41*Inputs!$C$26-Inputs!$C$40-(Inputs!$C$22-Inputs!$C$24)))^(1/Returns!$C$12)-1</f>
        <v>0.204350302521216</v>
      </c>
      <c r="F7" s="32" t="n">
        <f aca="false">((Returns!$C$6*F$6+Returns!$C$9)/(($B7*Inputs!$C$21)*(1+Inputs!$C$27)+Inputs!$C$23+Inputs!$C$40*Inputs!$C$25+Inputs!$C$41*Inputs!$C$26-Inputs!$C$40-(Inputs!$C$22-Inputs!$C$24)))^(1/Returns!$C$12)-1</f>
        <v>0.23867531596716</v>
      </c>
      <c r="G7" s="32" t="n">
        <f aca="false">((Returns!$C$6*G$6+Returns!$C$9)/(($B7*Inputs!$C$21)*(1+Inputs!$C$27)+Inputs!$C$23+Inputs!$C$40*Inputs!$C$25+Inputs!$C$41*Inputs!$C$26-Inputs!$C$40-(Inputs!$C$22-Inputs!$C$24)))^(1/Returns!$C$12)-1</f>
        <v>0.269569910541059</v>
      </c>
      <c r="H7" s="32" t="n">
        <f aca="false">((Returns!$C$6*H$6+Returns!$C$9)/(($B7*Inputs!$C$21)*(1+Inputs!$C$27)+Inputs!$C$23+Inputs!$C$40*Inputs!$C$25+Inputs!$C$41*Inputs!$C$26-Inputs!$C$40-(Inputs!$C$22-Inputs!$C$24)))^(1/Returns!$C$12)-1</f>
        <v>0.297720644444559</v>
      </c>
    </row>
    <row r="8" customFormat="false" ht="15" hidden="false" customHeight="false" outlineLevel="0" collapsed="false">
      <c r="B8" s="31" t="n">
        <v>168</v>
      </c>
      <c r="C8" s="32" t="n">
        <f aca="false">((Returns!$C$6*C$6+Returns!$C$9)/(($B8*Inputs!$C$21)*(1+Inputs!$C$27)+Inputs!$C$23+Inputs!$C$40*Inputs!$C$25+Inputs!$C$41*Inputs!$C$26-Inputs!$C$40-(Inputs!$C$22-Inputs!$C$24)))^(1/Returns!$C$12)-1</f>
        <v>0.0753633886250802</v>
      </c>
      <c r="D8" s="32" t="n">
        <f aca="false">((Returns!$C$6*D$6+Returns!$C$9)/(($B8*Inputs!$C$21)*(1+Inputs!$C$27)+Inputs!$C$23+Inputs!$C$40*Inputs!$C$25+Inputs!$C$41*Inputs!$C$26-Inputs!$C$40-(Inputs!$C$22-Inputs!$C$24)))^(1/Returns!$C$12)-1</f>
        <v>0.118266957076347</v>
      </c>
      <c r="E8" s="32" t="n">
        <f aca="false">((Returns!$C$6*E$6+Returns!$C$9)/(($B8*Inputs!$C$21)*(1+Inputs!$C$27)+Inputs!$C$23+Inputs!$C$40*Inputs!$C$25+Inputs!$C$41*Inputs!$C$26-Inputs!$C$40-(Inputs!$C$22-Inputs!$C$24)))^(1/Returns!$C$12)-1</f>
        <v>0.155446513885022</v>
      </c>
      <c r="F8" s="32" t="n">
        <f aca="false">((Returns!$C$6*F$6+Returns!$C$9)/(($B8*Inputs!$C$21)*(1+Inputs!$C$27)+Inputs!$C$23+Inputs!$C$40*Inputs!$C$25+Inputs!$C$41*Inputs!$C$26-Inputs!$C$40-(Inputs!$C$22-Inputs!$C$24)))^(1/Returns!$C$12)-1</f>
        <v>0.188377727537848</v>
      </c>
      <c r="G8" s="32" t="n">
        <f aca="false">((Returns!$C$6*G$6+Returns!$C$9)/(($B8*Inputs!$C$21)*(1+Inputs!$C$27)+Inputs!$C$23+Inputs!$C$40*Inputs!$C$25+Inputs!$C$41*Inputs!$C$26-Inputs!$C$40-(Inputs!$C$22-Inputs!$C$24)))^(1/Returns!$C$12)-1</f>
        <v>0.218017817737164</v>
      </c>
      <c r="H8" s="32" t="n">
        <f aca="false">((Returns!$C$6*H$6+Returns!$C$9)/(($B8*Inputs!$C$21)*(1+Inputs!$C$27)+Inputs!$C$23+Inputs!$C$40*Inputs!$C$25+Inputs!$C$41*Inputs!$C$26-Inputs!$C$40-(Inputs!$C$22-Inputs!$C$24)))^(1/Returns!$C$12)-1</f>
        <v>0.245025464336341</v>
      </c>
    </row>
    <row r="9" customFormat="false" ht="15" hidden="false" customHeight="false" outlineLevel="0" collapsed="false">
      <c r="B9" s="31" t="n">
        <v>180</v>
      </c>
      <c r="C9" s="32" t="n">
        <f aca="false">((Returns!$C$6*C$6+Returns!$C$9)/(($B9*Inputs!$C$21)*(1+Inputs!$C$27)+Inputs!$C$23+Inputs!$C$40*Inputs!$C$25+Inputs!$C$41*Inputs!$C$26-Inputs!$C$40-(Inputs!$C$22-Inputs!$C$24)))^(1/Returns!$C$12)-1</f>
        <v>0.0503651906179063</v>
      </c>
      <c r="D9" s="32" t="n">
        <f aca="false">((Returns!$C$6*D$6+Returns!$C$9)/(($B9*Inputs!$C$21)*(1+Inputs!$C$27)+Inputs!$C$23+Inputs!$C$40*Inputs!$C$25+Inputs!$C$41*Inputs!$C$26-Inputs!$C$40-(Inputs!$C$22-Inputs!$C$24)))^(1/Returns!$C$12)-1</f>
        <v>0.0922714107209743</v>
      </c>
      <c r="E9" s="32" t="n">
        <f aca="false">((Returns!$C$6*E$6+Returns!$C$9)/(($B9*Inputs!$C$21)*(1+Inputs!$C$27)+Inputs!$C$23+Inputs!$C$40*Inputs!$C$25+Inputs!$C$41*Inputs!$C$26-Inputs!$C$40-(Inputs!$C$22-Inputs!$C$24)))^(1/Returns!$C$12)-1</f>
        <v>0.128586681156546</v>
      </c>
      <c r="F9" s="32" t="n">
        <f aca="false">((Returns!$C$6*F$6+Returns!$C$9)/(($B9*Inputs!$C$21)*(1+Inputs!$C$27)+Inputs!$C$23+Inputs!$C$40*Inputs!$C$25+Inputs!$C$41*Inputs!$C$26-Inputs!$C$40-(Inputs!$C$22-Inputs!$C$24)))^(1/Returns!$C$12)-1</f>
        <v>0.160752366609122</v>
      </c>
      <c r="G9" s="32" t="n">
        <f aca="false">((Returns!$C$6*G$6+Returns!$C$9)/(($B9*Inputs!$C$21)*(1+Inputs!$C$27)+Inputs!$C$23+Inputs!$C$40*Inputs!$C$25+Inputs!$C$41*Inputs!$C$26-Inputs!$C$40-(Inputs!$C$22-Inputs!$C$24)))^(1/Returns!$C$12)-1</f>
        <v>0.189703434984196</v>
      </c>
      <c r="H9" s="32" t="n">
        <f aca="false">((Returns!$C$6*H$6+Returns!$C$9)/(($B9*Inputs!$C$21)*(1+Inputs!$C$27)+Inputs!$C$23+Inputs!$C$40*Inputs!$C$25+Inputs!$C$41*Inputs!$C$26-Inputs!$C$40-(Inputs!$C$22-Inputs!$C$24)))^(1/Returns!$C$12)-1</f>
        <v>0.2160832542791</v>
      </c>
    </row>
    <row r="10" customFormat="false" ht="15" hidden="false" customHeight="false" outlineLevel="0" collapsed="false">
      <c r="B10" s="31" t="n">
        <v>195</v>
      </c>
      <c r="C10" s="32" t="n">
        <f aca="false">((Returns!$C$6*C$6+Returns!$C$9)/(($B10*Inputs!$C$21)*(1+Inputs!$C$27)+Inputs!$C$23+Inputs!$C$40*Inputs!$C$25+Inputs!$C$41*Inputs!$C$26-Inputs!$C$40-(Inputs!$C$22-Inputs!$C$24)))^(1/Returns!$C$12)-1</f>
        <v>0.0234326097081281</v>
      </c>
      <c r="D10" s="32" t="n">
        <f aca="false">((Returns!$C$6*D$6+Returns!$C$9)/(($B10*Inputs!$C$21)*(1+Inputs!$C$27)+Inputs!$C$23+Inputs!$C$40*Inputs!$C$25+Inputs!$C$41*Inputs!$C$26-Inputs!$C$40-(Inputs!$C$22-Inputs!$C$24)))^(1/Returns!$C$12)-1</f>
        <v>0.0642643057564865</v>
      </c>
      <c r="E10" s="32" t="n">
        <f aca="false">((Returns!$C$6*E$6+Returns!$C$9)/(($B10*Inputs!$C$21)*(1+Inputs!$C$27)+Inputs!$C$23+Inputs!$C$40*Inputs!$C$25+Inputs!$C$41*Inputs!$C$26-Inputs!$C$40-(Inputs!$C$22-Inputs!$C$24)))^(1/Returns!$C$12)-1</f>
        <v>0.0996484105669948</v>
      </c>
      <c r="F10" s="32" t="n">
        <f aca="false">((Returns!$C$6*F$6+Returns!$C$9)/(($B10*Inputs!$C$21)*(1+Inputs!$C$27)+Inputs!$C$23+Inputs!$C$40*Inputs!$C$25+Inputs!$C$41*Inputs!$C$26-Inputs!$C$40-(Inputs!$C$22-Inputs!$C$24)))^(1/Returns!$C$12)-1</f>
        <v>0.130989330563034</v>
      </c>
      <c r="G10" s="32" t="n">
        <f aca="false">((Returns!$C$6*G$6+Returns!$C$9)/(($B10*Inputs!$C$21)*(1+Inputs!$C$27)+Inputs!$C$23+Inputs!$C$40*Inputs!$C$25+Inputs!$C$41*Inputs!$C$26-Inputs!$C$40-(Inputs!$C$22-Inputs!$C$24)))^(1/Returns!$C$12)-1</f>
        <v>0.15919805998933</v>
      </c>
      <c r="H10" s="32" t="n">
        <f aca="false">((Returns!$C$6*H$6+Returns!$C$9)/(($B10*Inputs!$C$21)*(1+Inputs!$C$27)+Inputs!$C$23+Inputs!$C$40*Inputs!$C$25+Inputs!$C$41*Inputs!$C$26-Inputs!$C$40-(Inputs!$C$22-Inputs!$C$24)))^(1/Returns!$C$12)-1</f>
        <v>0.184901470142069</v>
      </c>
    </row>
    <row r="11" customFormat="false" ht="15" hidden="false" customHeight="false" outlineLevel="0" collapsed="false">
      <c r="B11" s="31" t="n">
        <v>210</v>
      </c>
      <c r="C11" s="32" t="n">
        <f aca="false">((Returns!$C$6*C$6+Returns!$C$9)/(($B11*Inputs!$C$21)*(1+Inputs!$C$27)+Inputs!$C$23+Inputs!$C$40*Inputs!$C$25+Inputs!$C$41*Inputs!$C$26-Inputs!$C$40-(Inputs!$C$22-Inputs!$C$24)))^(1/Returns!$C$12)-1</f>
        <v>0.000175827870091183</v>
      </c>
      <c r="D11" s="32" t="n">
        <f aca="false">((Returns!$C$6*D$6+Returns!$C$9)/(($B11*Inputs!$C$21)*(1+Inputs!$C$27)+Inputs!$C$23+Inputs!$C$40*Inputs!$C$25+Inputs!$C$41*Inputs!$C$26-Inputs!$C$40-(Inputs!$C$22-Inputs!$C$24)))^(1/Returns!$C$12)-1</f>
        <v>0.0400796525197216</v>
      </c>
      <c r="E11" s="32" t="n">
        <f aca="false">((Returns!$C$6*E$6+Returns!$C$9)/(($B11*Inputs!$C$21)*(1+Inputs!$C$27)+Inputs!$C$23+Inputs!$C$40*Inputs!$C$25+Inputs!$C$41*Inputs!$C$26-Inputs!$C$40-(Inputs!$C$22-Inputs!$C$24)))^(1/Returns!$C$12)-1</f>
        <v>0.0746596785874714</v>
      </c>
      <c r="F11" s="32" t="n">
        <f aca="false">((Returns!$C$6*F$6+Returns!$C$9)/(($B11*Inputs!$C$21)*(1+Inputs!$C$27)+Inputs!$C$23+Inputs!$C$40*Inputs!$C$25+Inputs!$C$41*Inputs!$C$26-Inputs!$C$40-(Inputs!$C$22-Inputs!$C$24)))^(1/Returns!$C$12)-1</f>
        <v>0.105288398354558</v>
      </c>
      <c r="G11" s="32" t="n">
        <f aca="false">((Returns!$C$6*G$6+Returns!$C$9)/(($B11*Inputs!$C$21)*(1+Inputs!$C$27)+Inputs!$C$23+Inputs!$C$40*Inputs!$C$25+Inputs!$C$41*Inputs!$C$26-Inputs!$C$40-(Inputs!$C$22-Inputs!$C$24)))^(1/Returns!$C$12)-1</f>
        <v>0.13285610436615</v>
      </c>
      <c r="H11" s="32" t="n">
        <f aca="false">((Returns!$C$6*H$6+Returns!$C$9)/(($B11*Inputs!$C$21)*(1+Inputs!$C$27)+Inputs!$C$23+Inputs!$C$40*Inputs!$C$25+Inputs!$C$41*Inputs!$C$26-Inputs!$C$40-(Inputs!$C$22-Inputs!$C$24)))^(1/Returns!$C$12)-1</f>
        <v>0.157975422711822</v>
      </c>
    </row>
    <row r="12" customFormat="false" ht="15" hidden="false" customHeight="false" outlineLevel="0" collapsed="false">
      <c r="B12" s="31" t="n">
        <v>225</v>
      </c>
      <c r="C12" s="32" t="n">
        <f aca="false">((Returns!$C$6*C$6+Returns!$C$9)/(($B12*Inputs!$C$21)*(1+Inputs!$C$27)+Inputs!$C$23+Inputs!$C$40*Inputs!$C$25+Inputs!$C$41*Inputs!$C$26-Inputs!$C$40-(Inputs!$C$22-Inputs!$C$24)))^(1/Returns!$C$12)-1</f>
        <v>-0.0202315460848475</v>
      </c>
      <c r="D12" s="32" t="n">
        <f aca="false">((Returns!$C$6*D$6+Returns!$C$9)/(($B12*Inputs!$C$21)*(1+Inputs!$C$27)+Inputs!$C$23+Inputs!$C$40*Inputs!$C$25+Inputs!$C$41*Inputs!$C$26-Inputs!$C$40-(Inputs!$C$22-Inputs!$C$24)))^(1/Returns!$C$12)-1</f>
        <v>0.0188580894500634</v>
      </c>
      <c r="E12" s="32" t="n">
        <f aca="false">((Returns!$C$6*E$6+Returns!$C$9)/(($B12*Inputs!$C$21)*(1+Inputs!$C$27)+Inputs!$C$23+Inputs!$C$40*Inputs!$C$25+Inputs!$C$41*Inputs!$C$26-Inputs!$C$40-(Inputs!$C$22-Inputs!$C$24)))^(1/Returns!$C$12)-1</f>
        <v>0.0527325520521984</v>
      </c>
      <c r="F12" s="32" t="n">
        <f aca="false">((Returns!$C$6*F$6+Returns!$C$9)/(($B12*Inputs!$C$21)*(1+Inputs!$C$27)+Inputs!$C$23+Inputs!$C$40*Inputs!$C$25+Inputs!$C$41*Inputs!$C$26-Inputs!$C$40-(Inputs!$C$22-Inputs!$C$24)))^(1/Returns!$C$12)-1</f>
        <v>0.0827363299634329</v>
      </c>
      <c r="G12" s="32" t="n">
        <f aca="false">((Returns!$C$6*G$6+Returns!$C$9)/(($B12*Inputs!$C$21)*(1+Inputs!$C$27)+Inputs!$C$23+Inputs!$C$40*Inputs!$C$25+Inputs!$C$41*Inputs!$C$26-Inputs!$C$40-(Inputs!$C$22-Inputs!$C$24)))^(1/Returns!$C$12)-1</f>
        <v>0.109741550390008</v>
      </c>
      <c r="H12" s="32" t="n">
        <f aca="false">((Returns!$C$6*H$6+Returns!$C$9)/(($B12*Inputs!$C$21)*(1+Inputs!$C$27)+Inputs!$C$23+Inputs!$C$40*Inputs!$C$25+Inputs!$C$41*Inputs!$C$26-Inputs!$C$40-(Inputs!$C$22-Inputs!$C$24)))^(1/Returns!$C$12)-1</f>
        <v>0.134348339529626</v>
      </c>
    </row>
    <row r="14" customFormat="false" ht="15" hidden="false" customHeight="false" outlineLevel="0" collapsed="false">
      <c r="B14" s="10" t="s">
        <v>172</v>
      </c>
    </row>
  </sheetData>
  <conditionalFormatting sqref="C7:H12">
    <cfRule type="cellIs" priority="2" operator="greaterThanOrEqual" aboveAverage="0" equalAverage="0" bottom="0" percent="0" rank="0" text="" dxfId="0">
      <formula>Inputs!$C$55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  <Company>Alessandro Radice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2026-09-21T10:36:52Z</dcterms:created>
  <dc:creator>Alessandro Radice</dc:creator>
  <dc:description>Educational project. Figures from public filings and press coverage; assumptions marked.</dc:description>
  <cp:keywords>LBO, private equity, leveraged finance, Electronic Arts</cp:keywords>
  <dc:language>en-US</dc:language>
  <cp:lastModifiedBy>Alessandro Radice</cp:lastModifiedBy>
  <dcterms:modified xsi:type="dcterms:W3CDTF">2026-09-21T10:36:52Z</dcterms:modified>
  <cp:revision>0</cp:revision>
  <dc:subject>Leveraged buyout of Electronic Arts: sources and uses, debt schedule, returns, ability to pay</dc:subject>
  <dc:title>EA Take-Private: LBO Analysis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